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LS520DCD5\data\総務関係\10.各種テンプレート\出張・経費精算書\"/>
    </mc:Choice>
  </mc:AlternateContent>
  <xr:revisionPtr revIDLastSave="0" documentId="13_ncr:1_{295B5FEE-F38B-427E-8258-FE454140295C}" xr6:coauthVersionLast="47" xr6:coauthVersionMax="47" xr10:uidLastSave="{00000000-0000-0000-0000-000000000000}"/>
  <bookViews>
    <workbookView xWindow="28680" yWindow="-120" windowWidth="29040" windowHeight="15720" xr2:uid="{35252A24-F853-4D2E-A9F8-D9D19F6B2D54}"/>
  </bookViews>
  <sheets>
    <sheet name="電車通勤費報告書【原本】" sheetId="8" r:id="rId1"/>
    <sheet name="電車通勤費報告書【記入例2025.5】 " sheetId="6" r:id="rId2"/>
    <sheet name="ドロップダウンリスト" sheetId="4" state="hidden" r:id="rId3"/>
  </sheets>
  <definedNames>
    <definedName name="_xlnm.Print_Area" localSheetId="1">'電車通勤費報告書【記入例2025.5】 '!$A$1:$R$41</definedName>
    <definedName name="_xlnm.Print_Area" localSheetId="0">電車通勤費報告書【原本】!$A$1:$Q$41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8" l="1"/>
  <c r="B1" i="6" l="1"/>
  <c r="Q40" i="8" l="1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F4" i="8"/>
  <c r="D4" i="8"/>
  <c r="E4" i="8" s="1"/>
  <c r="C12" i="6"/>
  <c r="C13" i="6"/>
  <c r="C14" i="6"/>
  <c r="C15" i="6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E6" i="8" l="1"/>
  <c r="C11" i="8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F4" i="6"/>
  <c r="D4" i="6"/>
  <c r="E4" i="6" s="1"/>
  <c r="C10" i="6" l="1"/>
  <c r="C11" i="6" s="1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E6" i="6"/>
</calcChain>
</file>

<file path=xl/sharedStrings.xml><?xml version="1.0" encoding="utf-8"?>
<sst xmlns="http://schemas.openxmlformats.org/spreadsheetml/2006/main" count="194" uniqueCount="43">
  <si>
    <t>年度</t>
    <rPh sb="0" eb="2">
      <t>ネンド</t>
    </rPh>
    <phoneticPr fontId="4"/>
  </si>
  <si>
    <t>月度</t>
    <rPh sb="0" eb="1">
      <t>ゲツ</t>
    </rPh>
    <rPh sb="1" eb="2">
      <t>ド</t>
    </rPh>
    <phoneticPr fontId="4"/>
  </si>
  <si>
    <t>開始日</t>
    <rPh sb="0" eb="3">
      <t>カイシビ</t>
    </rPh>
    <phoneticPr fontId="4"/>
  </si>
  <si>
    <t>～</t>
    <phoneticPr fontId="3"/>
  </si>
  <si>
    <t>締め日</t>
    <rPh sb="0" eb="1">
      <t>シ</t>
    </rPh>
    <rPh sb="2" eb="3">
      <t>ビ</t>
    </rPh>
    <phoneticPr fontId="4"/>
  </si>
  <si>
    <t>日付</t>
    <rPh sb="0" eb="2">
      <t>ヒヅケ</t>
    </rPh>
    <phoneticPr fontId="4"/>
  </si>
  <si>
    <t>オレンジの網かけ部分を入力</t>
    <rPh sb="5" eb="6">
      <t>アミ</t>
    </rPh>
    <rPh sb="8" eb="10">
      <t>ブブン</t>
    </rPh>
    <rPh sb="11" eb="13">
      <t>ニュウリョク</t>
    </rPh>
    <phoneticPr fontId="4"/>
  </si>
  <si>
    <t>曜日</t>
    <rPh sb="0" eb="2">
      <t>ヨウビ</t>
    </rPh>
    <phoneticPr fontId="4"/>
  </si>
  <si>
    <t>本社</t>
    <rPh sb="0" eb="2">
      <t>ホンシャ</t>
    </rPh>
    <phoneticPr fontId="3"/>
  </si>
  <si>
    <t>~</t>
  </si>
  <si>
    <t>~</t>
    <phoneticPr fontId="3"/>
  </si>
  <si>
    <t>小野　レミ</t>
    <rPh sb="0" eb="2">
      <t>オノ</t>
    </rPh>
    <phoneticPr fontId="3"/>
  </si>
  <si>
    <t>所属部門</t>
    <rPh sb="0" eb="2">
      <t>ショゾク</t>
    </rPh>
    <rPh sb="2" eb="4">
      <t>ブモン</t>
    </rPh>
    <phoneticPr fontId="3"/>
  </si>
  <si>
    <t>管理部門</t>
    <rPh sb="0" eb="4">
      <t>カンリブモン</t>
    </rPh>
    <phoneticPr fontId="3"/>
  </si>
  <si>
    <t>出発駅</t>
    <rPh sb="0" eb="2">
      <t>シュッパツ</t>
    </rPh>
    <rPh sb="2" eb="3">
      <t>エキ</t>
    </rPh>
    <phoneticPr fontId="3"/>
  </si>
  <si>
    <t>到着駅</t>
    <rPh sb="0" eb="2">
      <t>トウチャク</t>
    </rPh>
    <rPh sb="2" eb="3">
      <t>エキ</t>
    </rPh>
    <phoneticPr fontId="3"/>
  </si>
  <si>
    <t>通勤交通費合計</t>
    <rPh sb="0" eb="2">
      <t>ツウキン</t>
    </rPh>
    <rPh sb="2" eb="5">
      <t>コウツウヒ</t>
    </rPh>
    <rPh sb="5" eb="7">
      <t>ゴウケイ</t>
    </rPh>
    <phoneticPr fontId="3"/>
  </si>
  <si>
    <t>片道/往復</t>
    <rPh sb="0" eb="2">
      <t>カタミチ</t>
    </rPh>
    <rPh sb="3" eb="5">
      <t>オウフク</t>
    </rPh>
    <phoneticPr fontId="3"/>
  </si>
  <si>
    <t>往復</t>
    <rPh sb="0" eb="2">
      <t>オウフク</t>
    </rPh>
    <phoneticPr fontId="3"/>
  </si>
  <si>
    <t>片道料金</t>
    <rPh sb="0" eb="2">
      <t>カタミチ</t>
    </rPh>
    <rPh sb="2" eb="4">
      <t>リョウキン</t>
    </rPh>
    <phoneticPr fontId="3"/>
  </si>
  <si>
    <t>合計金額</t>
    <rPh sb="0" eb="4">
      <t>ゴウケイキンガク</t>
    </rPh>
    <phoneticPr fontId="3"/>
  </si>
  <si>
    <t>片道</t>
    <rPh sb="0" eb="2">
      <t>カタミチ</t>
    </rPh>
    <phoneticPr fontId="3"/>
  </si>
  <si>
    <t>氏名</t>
    <rPh sb="0" eb="2">
      <t>シメイ</t>
    </rPh>
    <phoneticPr fontId="3"/>
  </si>
  <si>
    <t>出勤</t>
    <rPh sb="0" eb="2">
      <t>シュッキン</t>
    </rPh>
    <phoneticPr fontId="3"/>
  </si>
  <si>
    <t>出張</t>
    <rPh sb="0" eb="2">
      <t>シュッチョウ</t>
    </rPh>
    <phoneticPr fontId="3"/>
  </si>
  <si>
    <t>岩槻駅</t>
    <rPh sb="0" eb="3">
      <t>イワツキエキ</t>
    </rPh>
    <phoneticPr fontId="3"/>
  </si>
  <si>
    <t>浦和駅</t>
    <rPh sb="0" eb="2">
      <t>ウラワ</t>
    </rPh>
    <rPh sb="2" eb="3">
      <t>エキ</t>
    </rPh>
    <phoneticPr fontId="3"/>
  </si>
  <si>
    <t>青森工場　直行</t>
    <rPh sb="0" eb="4">
      <t>アオモリコウジョウ</t>
    </rPh>
    <rPh sb="5" eb="7">
      <t>チョッコウ</t>
    </rPh>
    <phoneticPr fontId="3"/>
  </si>
  <si>
    <t>岩槻駅</t>
    <rPh sb="0" eb="2">
      <t>イワツキ</t>
    </rPh>
    <rPh sb="2" eb="3">
      <t>エキ</t>
    </rPh>
    <phoneticPr fontId="3"/>
  </si>
  <si>
    <t>新青森駅</t>
    <rPh sb="0" eb="3">
      <t>シンアオモリ</t>
    </rPh>
    <rPh sb="3" eb="4">
      <t>エキ</t>
    </rPh>
    <phoneticPr fontId="3"/>
  </si>
  <si>
    <t>外出</t>
    <rPh sb="0" eb="2">
      <t>ガイシュツ</t>
    </rPh>
    <phoneticPr fontId="3"/>
  </si>
  <si>
    <t>出勤/出張/外出</t>
    <rPh sb="0" eb="2">
      <t>シュッキン</t>
    </rPh>
    <rPh sb="3" eb="5">
      <t>シュッチョウ</t>
    </rPh>
    <rPh sb="6" eb="8">
      <t>ガイシュツ</t>
    </rPh>
    <phoneticPr fontId="3"/>
  </si>
  <si>
    <t>〇〇〇〇商事へ直行</t>
    <rPh sb="4" eb="6">
      <t>ショウジ</t>
    </rPh>
    <rPh sb="7" eb="9">
      <t>チョッコウ</t>
    </rPh>
    <phoneticPr fontId="3"/>
  </si>
  <si>
    <t>新宿駅</t>
  </si>
  <si>
    <t>経由地</t>
    <rPh sb="0" eb="3">
      <t>ケイユチ</t>
    </rPh>
    <phoneticPr fontId="3"/>
  </si>
  <si>
    <t>出張申請/交際費申請NO.</t>
    <rPh sb="0" eb="2">
      <t>シュッチョウ</t>
    </rPh>
    <rPh sb="2" eb="4">
      <t>シンセイ</t>
    </rPh>
    <rPh sb="5" eb="8">
      <t>コウサイヒ</t>
    </rPh>
    <rPh sb="8" eb="10">
      <t>シンセイ</t>
    </rPh>
    <phoneticPr fontId="3"/>
  </si>
  <si>
    <t>下記の通り交通費についてご報告いたします。</t>
    <rPh sb="5" eb="8">
      <t>コウツウヒ</t>
    </rPh>
    <phoneticPr fontId="3"/>
  </si>
  <si>
    <t>電車通勤費報告書</t>
    <rPh sb="0" eb="2">
      <t>デンシャ</t>
    </rPh>
    <rPh sb="2" eb="5">
      <t>ツウキンヒ</t>
    </rPh>
    <rPh sb="5" eb="8">
      <t>ホウコクショ</t>
    </rPh>
    <phoneticPr fontId="3"/>
  </si>
  <si>
    <t>所属部門</t>
    <phoneticPr fontId="3"/>
  </si>
  <si>
    <t>出勤/出張/外出　他</t>
    <rPh sb="0" eb="2">
      <t>シュッキン</t>
    </rPh>
    <rPh sb="3" eb="5">
      <t>シュッチョウ</t>
    </rPh>
    <rPh sb="6" eb="8">
      <t>ガイシュツ</t>
    </rPh>
    <rPh sb="9" eb="10">
      <t>ホカ</t>
    </rPh>
    <phoneticPr fontId="4"/>
  </si>
  <si>
    <t>直行</t>
    <rPh sb="0" eb="2">
      <t>チョッコウ</t>
    </rPh>
    <phoneticPr fontId="3"/>
  </si>
  <si>
    <t>直帰</t>
    <rPh sb="0" eb="2">
      <t>チョッキ</t>
    </rPh>
    <phoneticPr fontId="3"/>
  </si>
  <si>
    <t>行先</t>
    <rPh sb="0" eb="2">
      <t>イキサキ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</si>
</sst>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\(aaa\)"/>
    <numFmt numFmtId="177" formatCode="d&quot;日&quot;"/>
    <numFmt numFmtId="178" formatCode="#,##0&quot;km&quot;"/>
    <numFmt numFmtId="179" formatCode="&quot;¥&quot;#,##0_);[Red]\(&quot;¥&quot;#,##0\)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2" borderId="14" xfId="0" applyNumberFormat="1" applyFill="1" applyBorder="1" applyAlignment="1">
      <alignment horizontal="center" vertical="center" shrinkToFit="1"/>
    </xf>
    <xf numFmtId="178" fontId="0" fillId="2" borderId="13" xfId="0" applyNumberFormat="1" applyFill="1" applyBorder="1" applyAlignment="1">
      <alignment horizontal="center" vertical="center" shrinkToFit="1"/>
    </xf>
    <xf numFmtId="0" fontId="0" fillId="2" borderId="17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23" xfId="0" applyBorder="1">
      <alignment vertical="center"/>
    </xf>
    <xf numFmtId="0" fontId="0" fillId="3" borderId="4" xfId="0" applyFill="1" applyBorder="1">
      <alignment vertical="center"/>
    </xf>
    <xf numFmtId="178" fontId="0" fillId="2" borderId="9" xfId="0" applyNumberFormat="1" applyFill="1" applyBorder="1" applyAlignment="1">
      <alignment horizontal="center" vertical="center" shrinkToFit="1"/>
    </xf>
    <xf numFmtId="178" fontId="0" fillId="2" borderId="11" xfId="0" applyNumberFormat="1" applyFill="1" applyBorder="1" applyAlignment="1">
      <alignment horizontal="center" vertical="center" shrinkToFit="1"/>
    </xf>
    <xf numFmtId="0" fontId="0" fillId="0" borderId="15" xfId="0" applyBorder="1">
      <alignment vertical="center"/>
    </xf>
    <xf numFmtId="0" fontId="0" fillId="2" borderId="17" xfId="0" applyFill="1" applyBorder="1" applyAlignment="1">
      <alignment horizontal="center" vertical="center" shrinkToFit="1"/>
    </xf>
    <xf numFmtId="179" fontId="0" fillId="0" borderId="14" xfId="0" applyNumberFormat="1" applyBorder="1">
      <alignment vertical="center"/>
    </xf>
    <xf numFmtId="179" fontId="0" fillId="0" borderId="24" xfId="0" applyNumberFormat="1" applyBorder="1">
      <alignment vertical="center"/>
    </xf>
    <xf numFmtId="0" fontId="0" fillId="2" borderId="8" xfId="0" applyFill="1" applyBorder="1" applyAlignment="1">
      <alignment horizontal="center" vertical="center" shrinkToFit="1"/>
    </xf>
    <xf numFmtId="0" fontId="5" fillId="0" borderId="0" xfId="0" applyFont="1">
      <alignment vertical="center"/>
    </xf>
    <xf numFmtId="179" fontId="0" fillId="0" borderId="16" xfId="0" applyNumberFormat="1" applyBorder="1">
      <alignment vertical="center"/>
    </xf>
    <xf numFmtId="179" fontId="0" fillId="0" borderId="22" xfId="0" applyNumberFormat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7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0" borderId="15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shrinkToFit="1"/>
    </xf>
    <xf numFmtId="0" fontId="8" fillId="0" borderId="15" xfId="0" applyFont="1" applyBorder="1">
      <alignment vertical="center"/>
    </xf>
    <xf numFmtId="0" fontId="0" fillId="2" borderId="14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2" borderId="17" xfId="0" applyFill="1" applyBorder="1" applyAlignment="1">
      <alignment horizontal="center" vertical="center" shrinkToFit="1"/>
    </xf>
    <xf numFmtId="0" fontId="0" fillId="2" borderId="9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6" fontId="6" fillId="4" borderId="25" xfId="1" applyFont="1" applyFill="1" applyBorder="1" applyAlignment="1">
      <alignment horizontal="center" vertical="center" wrapText="1"/>
    </xf>
    <xf numFmtId="6" fontId="7" fillId="3" borderId="25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12</xdr:row>
      <xdr:rowOff>241935</xdr:rowOff>
    </xdr:from>
    <xdr:to>
      <xdr:col>5</xdr:col>
      <xdr:colOff>377190</xdr:colOff>
      <xdr:row>14</xdr:row>
      <xdr:rowOff>60960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308F70DB-0C91-F46B-A4E6-1B2A321A976C}"/>
            </a:ext>
          </a:extLst>
        </xdr:cNvPr>
        <xdr:cNvSpPr/>
      </xdr:nvSpPr>
      <xdr:spPr>
        <a:xfrm>
          <a:off x="381000" y="3419475"/>
          <a:ext cx="2929890" cy="352425"/>
        </a:xfrm>
        <a:prstGeom prst="wedgeRoundRectCallout">
          <a:avLst>
            <a:gd name="adj1" fmla="val 11859"/>
            <a:gd name="adj2" fmla="val -125213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直行直近プルダウンより選択してください。</a:t>
          </a:r>
        </a:p>
      </xdr:txBody>
    </xdr:sp>
    <xdr:clientData/>
  </xdr:twoCellAnchor>
  <xdr:twoCellAnchor>
    <xdr:from>
      <xdr:col>14</xdr:col>
      <xdr:colOff>729615</xdr:colOff>
      <xdr:row>13</xdr:row>
      <xdr:rowOff>40005</xdr:rowOff>
    </xdr:from>
    <xdr:to>
      <xdr:col>18</xdr:col>
      <xdr:colOff>22860</xdr:colOff>
      <xdr:row>14</xdr:row>
      <xdr:rowOff>125730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297C3CEE-D702-4F34-94AA-DF9F36EED78A}"/>
            </a:ext>
          </a:extLst>
        </xdr:cNvPr>
        <xdr:cNvSpPr/>
      </xdr:nvSpPr>
      <xdr:spPr>
        <a:xfrm>
          <a:off x="10254615" y="3750945"/>
          <a:ext cx="2493645" cy="352425"/>
        </a:xfrm>
        <a:prstGeom prst="wedgeRoundRectCallout">
          <a:avLst>
            <a:gd name="adj1" fmla="val -14092"/>
            <a:gd name="adj2" fmla="val -117646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noFill/>
            </a:rPr>
            <a:t>プルダウンより選択してください。</a:t>
          </a:r>
        </a:p>
      </xdr:txBody>
    </xdr:sp>
    <xdr:clientData/>
  </xdr:twoCellAnchor>
  <xdr:twoCellAnchor>
    <xdr:from>
      <xdr:col>5</xdr:col>
      <xdr:colOff>381000</xdr:colOff>
      <xdr:row>17</xdr:row>
      <xdr:rowOff>72391</xdr:rowOff>
    </xdr:from>
    <xdr:to>
      <xdr:col>9</xdr:col>
      <xdr:colOff>83820</xdr:colOff>
      <xdr:row>22</xdr:row>
      <xdr:rowOff>106681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EEACD51-E104-D723-0B51-06CC39D2B947}"/>
            </a:ext>
          </a:extLst>
        </xdr:cNvPr>
        <xdr:cNvSpPr/>
      </xdr:nvSpPr>
      <xdr:spPr>
        <a:xfrm>
          <a:off x="2887980" y="4850131"/>
          <a:ext cx="3939540" cy="136779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予定について</a:t>
          </a:r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noFill/>
            </a:rPr>
            <a:t>・出張の場合、どこに向かったか記入してください。</a:t>
          </a:r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noFill/>
            </a:rPr>
            <a:t>（直行、直帰が分かると助かります。）</a:t>
          </a:r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  <a:p>
          <a:pPr algn="l"/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noFill/>
            </a:rPr>
            <a:t>出勤してから出張される場合は、出張扱いとしてください。</a:t>
          </a:r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  <a:p>
          <a:pPr algn="l"/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  <a:p>
          <a:pPr algn="l"/>
          <a:endParaRPr kumimoji="1" lang="en-US" altLang="ja-JP" sz="1100">
            <a:ln>
              <a:solidFill>
                <a:schemeClr val="tx1"/>
              </a:solidFill>
            </a:ln>
            <a:noFill/>
          </a:endParaRPr>
        </a:p>
      </xdr:txBody>
    </xdr:sp>
    <xdr:clientData/>
  </xdr:twoCellAnchor>
  <xdr:twoCellAnchor>
    <xdr:from>
      <xdr:col>10</xdr:col>
      <xdr:colOff>443864</xdr:colOff>
      <xdr:row>16</xdr:row>
      <xdr:rowOff>140970</xdr:rowOff>
    </xdr:from>
    <xdr:to>
      <xdr:col>17</xdr:col>
      <xdr:colOff>396240</xdr:colOff>
      <xdr:row>23</xdr:row>
      <xdr:rowOff>121919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98D6AB5-04BD-419F-888C-041CCC96E944}"/>
            </a:ext>
          </a:extLst>
        </xdr:cNvPr>
        <xdr:cNvSpPr/>
      </xdr:nvSpPr>
      <xdr:spPr>
        <a:xfrm>
          <a:off x="7850504" y="4652010"/>
          <a:ext cx="4585336" cy="184784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金額の入力について</a:t>
          </a:r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片道　</a:t>
          </a:r>
          <a:r>
            <a:rPr kumimoji="1" lang="en-US" altLang="ja-JP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or</a:t>
          </a:r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　往復を選択すると「合計金額欄」が自動で計算されるよう関数が入力されております。</a:t>
          </a:r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例えば「往復」の場合、片道運賃</a:t>
          </a:r>
          <a:r>
            <a:rPr kumimoji="1" lang="en-US" altLang="ja-JP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×2</a:t>
          </a:r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となっております。</a:t>
          </a:r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行きと帰りで料金が違う場合は、手入力をお願いいたします。</a:t>
          </a:r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ln>
              <a:solidFill>
                <a:schemeClr val="tx1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485775</xdr:colOff>
      <xdr:row>5</xdr:row>
      <xdr:rowOff>152400</xdr:rowOff>
    </xdr:from>
    <xdr:to>
      <xdr:col>10</xdr:col>
      <xdr:colOff>828675</xdr:colOff>
      <xdr:row>6</xdr:row>
      <xdr:rowOff>57150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4A871131-C497-49C5-AFF3-2BF0E51341EE}"/>
            </a:ext>
          </a:extLst>
        </xdr:cNvPr>
        <xdr:cNvSpPr/>
      </xdr:nvSpPr>
      <xdr:spPr>
        <a:xfrm>
          <a:off x="4857750" y="1514475"/>
          <a:ext cx="1676400" cy="352425"/>
        </a:xfrm>
        <a:prstGeom prst="wedgeRoundRectCallout">
          <a:avLst>
            <a:gd name="adj1" fmla="val -79910"/>
            <a:gd name="adj2" fmla="val -26294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自動で計算されます。</a:t>
          </a:r>
        </a:p>
      </xdr:txBody>
    </xdr:sp>
    <xdr:clientData/>
  </xdr:twoCellAnchor>
  <xdr:twoCellAnchor>
    <xdr:from>
      <xdr:col>5</xdr:col>
      <xdr:colOff>982980</xdr:colOff>
      <xdr:row>12</xdr:row>
      <xdr:rowOff>127635</xdr:rowOff>
    </xdr:from>
    <xdr:to>
      <xdr:col>8</xdr:col>
      <xdr:colOff>251460</xdr:colOff>
      <xdr:row>15</xdr:row>
      <xdr:rowOff>190500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6D36E045-1E18-45B9-872E-9434B43E41E6}"/>
            </a:ext>
          </a:extLst>
        </xdr:cNvPr>
        <xdr:cNvSpPr/>
      </xdr:nvSpPr>
      <xdr:spPr>
        <a:xfrm>
          <a:off x="3489960" y="3305175"/>
          <a:ext cx="2842260" cy="862965"/>
        </a:xfrm>
        <a:prstGeom prst="wedgeRoundRectCallout">
          <a:avLst>
            <a:gd name="adj1" fmla="val -39379"/>
            <a:gd name="adj2" fmla="val -146405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出張申請や交際費申請をされている場合、</a:t>
          </a:r>
          <a:endParaRPr kumimoji="1" lang="en-US" altLang="ja-JP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申請</a:t>
          </a:r>
          <a:r>
            <a:rPr kumimoji="1" lang="en-US" altLang="ja-JP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NO.</a:t>
          </a:r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のご記入をお願いいたします。</a:t>
          </a:r>
        </a:p>
      </xdr:txBody>
    </xdr:sp>
    <xdr:clientData/>
  </xdr:twoCellAnchor>
  <xdr:twoCellAnchor>
    <xdr:from>
      <xdr:col>9</xdr:col>
      <xdr:colOff>236220</xdr:colOff>
      <xdr:row>13</xdr:row>
      <xdr:rowOff>180975</xdr:rowOff>
    </xdr:from>
    <xdr:to>
      <xdr:col>14</xdr:col>
      <xdr:colOff>480060</xdr:colOff>
      <xdr:row>16</xdr:row>
      <xdr:rowOff>45720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4CA79315-DA79-4332-A165-787E52645D84}"/>
            </a:ext>
          </a:extLst>
        </xdr:cNvPr>
        <xdr:cNvSpPr/>
      </xdr:nvSpPr>
      <xdr:spPr>
        <a:xfrm>
          <a:off x="6979920" y="3625215"/>
          <a:ext cx="3025140" cy="664845"/>
        </a:xfrm>
        <a:prstGeom prst="wedgeRoundRectCallout">
          <a:avLst>
            <a:gd name="adj1" fmla="val 13102"/>
            <a:gd name="adj2" fmla="val -116044"/>
            <a:gd name="adj3" fmla="val 16667"/>
          </a:avLst>
        </a:prstGeom>
        <a:solidFill>
          <a:schemeClr val="accent1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直行されてから出勤する場合、</a:t>
          </a:r>
          <a:endParaRPr kumimoji="1" lang="en-US" altLang="ja-JP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経由地に取引先の最寄り駅ご記入ください。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793E-2462-406B-8295-6FC6945F6DC2}">
  <sheetPr>
    <tabColor rgb="FFFFFF00"/>
    <pageSetUpPr fitToPage="1"/>
  </sheetPr>
  <dimension ref="B1:T45"/>
  <sheetViews>
    <sheetView tabSelected="1" zoomScaleNormal="100" workbookViewId="0">
      <selection activeCell="D10" sqref="D10:E10"/>
    </sheetView>
  </sheetViews>
  <sheetFormatPr defaultRowHeight="18" x14ac:dyDescent="0.45"/>
  <cols>
    <col min="1" max="1" width="2.19921875" customWidth="1"/>
    <col min="2" max="3" width="8" customWidth="1"/>
    <col min="4" max="4" width="16.69921875" customWidth="1"/>
    <col min="5" max="5" width="2.8984375" customWidth="1"/>
    <col min="6" max="6" width="16.69921875" customWidth="1"/>
    <col min="7" max="7" width="15.59765625" customWidth="1"/>
    <col min="8" max="9" width="8.69921875" customWidth="1"/>
    <col min="10" max="10" width="10.69921875" customWidth="1"/>
    <col min="11" max="11" width="2.8984375" bestFit="1" customWidth="1"/>
    <col min="12" max="12" width="10.69921875" style="18" customWidth="1"/>
    <col min="13" max="13" width="2.8984375" bestFit="1" customWidth="1"/>
    <col min="14" max="15" width="10.69921875" customWidth="1"/>
    <col min="16" max="17" width="9" bestFit="1" customWidth="1"/>
    <col min="18" max="18" width="2.19921875" customWidth="1"/>
  </cols>
  <sheetData>
    <row r="1" spans="2:17" ht="32.25" customHeight="1" x14ac:dyDescent="0.45">
      <c r="B1" s="1" t="s">
        <v>37</v>
      </c>
      <c r="J1" s="32"/>
      <c r="K1" s="32"/>
      <c r="L1" s="45"/>
      <c r="M1" s="32"/>
      <c r="N1" s="32"/>
      <c r="O1" s="60" t="s">
        <v>6</v>
      </c>
      <c r="P1" s="60"/>
      <c r="Q1" s="60"/>
    </row>
    <row r="2" spans="2:17" ht="8.25" customHeight="1" thickBot="1" x14ac:dyDescent="0.5"/>
    <row r="3" spans="2:17" ht="29.25" customHeight="1" x14ac:dyDescent="0.45">
      <c r="B3" s="2" t="s">
        <v>0</v>
      </c>
      <c r="C3" s="3" t="s">
        <v>1</v>
      </c>
      <c r="D3" s="36" t="s">
        <v>2</v>
      </c>
      <c r="E3" s="37" t="s">
        <v>3</v>
      </c>
      <c r="F3" s="38" t="s">
        <v>4</v>
      </c>
      <c r="G3" s="55" t="s">
        <v>22</v>
      </c>
      <c r="H3" s="57"/>
      <c r="I3" s="56"/>
      <c r="J3" s="57" t="s">
        <v>38</v>
      </c>
      <c r="K3" s="57"/>
      <c r="L3" s="57"/>
      <c r="M3" s="57"/>
      <c r="N3" s="57"/>
      <c r="O3" s="57"/>
      <c r="P3" s="57"/>
      <c r="Q3" s="61"/>
    </row>
    <row r="4" spans="2:17" ht="29.25" customHeight="1" thickBot="1" x14ac:dyDescent="0.5">
      <c r="B4" s="7">
        <v>2025</v>
      </c>
      <c r="C4" s="8">
        <v>6</v>
      </c>
      <c r="D4" s="10">
        <f>IF(OR(B4="",C4=""),"",DATE(B4,C4,1))</f>
        <v>45809</v>
      </c>
      <c r="E4" s="9" t="str">
        <f>IF(D4="","","～")</f>
        <v>～</v>
      </c>
      <c r="F4" s="11">
        <f>IF(OR(B4="",C4=""),"",DATE(B4,C4+1,1)-1)</f>
        <v>45838</v>
      </c>
      <c r="G4" s="62"/>
      <c r="H4" s="63"/>
      <c r="I4" s="64"/>
      <c r="J4" s="63"/>
      <c r="K4" s="63"/>
      <c r="L4" s="63"/>
      <c r="M4" s="63"/>
      <c r="N4" s="63"/>
      <c r="O4" s="63"/>
      <c r="P4" s="63"/>
      <c r="Q4" s="65"/>
    </row>
    <row r="5" spans="2:17" ht="8.25" customHeight="1" thickBot="1" x14ac:dyDescent="0.5"/>
    <row r="6" spans="2:17" ht="35.25" customHeight="1" thickBot="1" x14ac:dyDescent="0.5">
      <c r="B6" s="58" t="s">
        <v>16</v>
      </c>
      <c r="C6" s="58"/>
      <c r="D6" s="58"/>
      <c r="E6" s="59">
        <f>SUM(Q10:Q40)</f>
        <v>0</v>
      </c>
      <c r="F6" s="59"/>
      <c r="G6" s="59"/>
      <c r="H6" s="59"/>
    </row>
    <row r="7" spans="2:17" ht="8.25" customHeight="1" x14ac:dyDescent="0.45"/>
    <row r="8" spans="2:17" ht="18.600000000000001" thickBot="1" x14ac:dyDescent="0.5">
      <c r="B8" t="s">
        <v>36</v>
      </c>
    </row>
    <row r="9" spans="2:17" ht="27.6" customHeight="1" x14ac:dyDescent="0.45">
      <c r="B9" s="13" t="s">
        <v>5</v>
      </c>
      <c r="C9" s="12" t="s">
        <v>7</v>
      </c>
      <c r="D9" s="55" t="s">
        <v>39</v>
      </c>
      <c r="E9" s="56"/>
      <c r="F9" s="47" t="s">
        <v>35</v>
      </c>
      <c r="G9" s="55" t="s">
        <v>42</v>
      </c>
      <c r="H9" s="57"/>
      <c r="I9" s="57"/>
      <c r="J9" s="36" t="s">
        <v>14</v>
      </c>
      <c r="K9" s="24"/>
      <c r="L9" s="37" t="s">
        <v>34</v>
      </c>
      <c r="M9" s="24"/>
      <c r="N9" s="38" t="s">
        <v>15</v>
      </c>
      <c r="O9" s="37" t="s">
        <v>17</v>
      </c>
      <c r="P9" s="36" t="s">
        <v>19</v>
      </c>
      <c r="Q9" s="35" t="s">
        <v>20</v>
      </c>
    </row>
    <row r="10" spans="2:17" ht="27.6" customHeight="1" x14ac:dyDescent="0.45">
      <c r="B10" s="16">
        <f>D4</f>
        <v>45809</v>
      </c>
      <c r="C10" s="14">
        <f>D4</f>
        <v>45809</v>
      </c>
      <c r="D10" s="49"/>
      <c r="E10" s="50"/>
      <c r="F10" s="42"/>
      <c r="G10" s="49"/>
      <c r="H10" s="51"/>
      <c r="I10" s="51"/>
      <c r="J10" s="19"/>
      <c r="K10" s="21" t="s">
        <v>10</v>
      </c>
      <c r="L10" s="46"/>
      <c r="M10" s="21" t="s">
        <v>10</v>
      </c>
      <c r="N10" s="20"/>
      <c r="O10" s="42"/>
      <c r="P10" s="29"/>
      <c r="Q10" s="33" t="str">
        <f>IF(O10="往復", P10*2, IF(O10="片道", P10*1, ""))</f>
        <v/>
      </c>
    </row>
    <row r="11" spans="2:17" ht="27.6" customHeight="1" x14ac:dyDescent="0.45">
      <c r="B11" s="16">
        <f>IF(B10&gt;=$F$4,"",B10+1)</f>
        <v>45810</v>
      </c>
      <c r="C11" s="14">
        <f>IF(C10&gt;=$F$4,"",C10+1)</f>
        <v>45810</v>
      </c>
      <c r="D11" s="49"/>
      <c r="E11" s="50"/>
      <c r="F11" s="42"/>
      <c r="G11" s="49"/>
      <c r="H11" s="51"/>
      <c r="I11" s="51"/>
      <c r="J11" s="19"/>
      <c r="K11" s="21" t="s">
        <v>9</v>
      </c>
      <c r="L11" s="46"/>
      <c r="M11" s="21" t="s">
        <v>9</v>
      </c>
      <c r="N11" s="20"/>
      <c r="O11" s="42"/>
      <c r="P11" s="29"/>
      <c r="Q11" s="33" t="str">
        <f t="shared" ref="Q11:Q40" si="0">IF(O11="往復", P11*2, IF(O11="片道", P11*1, ""))</f>
        <v/>
      </c>
    </row>
    <row r="12" spans="2:17" ht="27.6" customHeight="1" x14ac:dyDescent="0.45">
      <c r="B12" s="16">
        <f>IF(B11&gt;=$F$4,"",B11+1)</f>
        <v>45811</v>
      </c>
      <c r="C12" s="14">
        <f t="shared" ref="C12:C40" si="1">IF(C11&gt;=$F$4,"",C11+1)</f>
        <v>45811</v>
      </c>
      <c r="D12" s="49"/>
      <c r="E12" s="50"/>
      <c r="F12" s="42"/>
      <c r="G12" s="49"/>
      <c r="H12" s="51"/>
      <c r="I12" s="51"/>
      <c r="J12" s="19"/>
      <c r="K12" s="21" t="s">
        <v>9</v>
      </c>
      <c r="L12" s="46"/>
      <c r="M12" s="21" t="s">
        <v>9</v>
      </c>
      <c r="N12" s="20"/>
      <c r="O12" s="42"/>
      <c r="P12" s="29"/>
      <c r="Q12" s="33" t="str">
        <f t="shared" si="0"/>
        <v/>
      </c>
    </row>
    <row r="13" spans="2:17" ht="27.6" customHeight="1" x14ac:dyDescent="0.45">
      <c r="B13" s="16">
        <f t="shared" ref="B13:B40" si="2">IF(B12&gt;=$F$4,"",B12+1)</f>
        <v>45812</v>
      </c>
      <c r="C13" s="14">
        <f t="shared" si="1"/>
        <v>45812</v>
      </c>
      <c r="D13" s="49"/>
      <c r="E13" s="50"/>
      <c r="F13" s="42"/>
      <c r="G13" s="49"/>
      <c r="H13" s="51"/>
      <c r="I13" s="51"/>
      <c r="J13" s="19"/>
      <c r="K13" s="21" t="s">
        <v>9</v>
      </c>
      <c r="L13" s="46"/>
      <c r="M13" s="21" t="s">
        <v>9</v>
      </c>
      <c r="N13" s="20"/>
      <c r="O13" s="42"/>
      <c r="P13" s="29"/>
      <c r="Q13" s="33" t="str">
        <f t="shared" si="0"/>
        <v/>
      </c>
    </row>
    <row r="14" spans="2:17" ht="27.6" customHeight="1" x14ac:dyDescent="0.45">
      <c r="B14" s="16">
        <f t="shared" si="2"/>
        <v>45813</v>
      </c>
      <c r="C14" s="14">
        <f t="shared" si="1"/>
        <v>45813</v>
      </c>
      <c r="D14" s="49"/>
      <c r="E14" s="50"/>
      <c r="F14" s="42"/>
      <c r="G14" s="49"/>
      <c r="H14" s="51"/>
      <c r="I14" s="51"/>
      <c r="J14" s="19"/>
      <c r="K14" s="21" t="s">
        <v>9</v>
      </c>
      <c r="L14" s="46"/>
      <c r="M14" s="21" t="s">
        <v>9</v>
      </c>
      <c r="N14" s="20"/>
      <c r="O14" s="42"/>
      <c r="P14" s="29"/>
      <c r="Q14" s="33" t="str">
        <f t="shared" si="0"/>
        <v/>
      </c>
    </row>
    <row r="15" spans="2:17" ht="27.6" customHeight="1" x14ac:dyDescent="0.45">
      <c r="B15" s="16">
        <f t="shared" si="2"/>
        <v>45814</v>
      </c>
      <c r="C15" s="14">
        <f t="shared" si="1"/>
        <v>45814</v>
      </c>
      <c r="D15" s="49"/>
      <c r="E15" s="50"/>
      <c r="F15" s="42"/>
      <c r="G15" s="49"/>
      <c r="H15" s="51"/>
      <c r="I15" s="51"/>
      <c r="J15" s="19"/>
      <c r="K15" s="21" t="s">
        <v>9</v>
      </c>
      <c r="L15" s="46"/>
      <c r="M15" s="21" t="s">
        <v>9</v>
      </c>
      <c r="N15" s="20"/>
      <c r="O15" s="42"/>
      <c r="P15" s="29"/>
      <c r="Q15" s="33" t="str">
        <f t="shared" si="0"/>
        <v/>
      </c>
    </row>
    <row r="16" spans="2:17" ht="27.6" customHeight="1" x14ac:dyDescent="0.45">
      <c r="B16" s="16">
        <f t="shared" si="2"/>
        <v>45815</v>
      </c>
      <c r="C16" s="14">
        <f t="shared" si="1"/>
        <v>45815</v>
      </c>
      <c r="D16" s="49"/>
      <c r="E16" s="50"/>
      <c r="F16" s="42"/>
      <c r="G16" s="49"/>
      <c r="H16" s="51"/>
      <c r="I16" s="51"/>
      <c r="J16" s="19"/>
      <c r="K16" s="21" t="s">
        <v>9</v>
      </c>
      <c r="L16" s="46"/>
      <c r="M16" s="21" t="s">
        <v>9</v>
      </c>
      <c r="N16" s="20"/>
      <c r="O16" s="42"/>
      <c r="P16" s="29"/>
      <c r="Q16" s="33" t="str">
        <f t="shared" si="0"/>
        <v/>
      </c>
    </row>
    <row r="17" spans="2:17" ht="27.6" customHeight="1" x14ac:dyDescent="0.45">
      <c r="B17" s="16">
        <f t="shared" si="2"/>
        <v>45816</v>
      </c>
      <c r="C17" s="14">
        <f t="shared" si="1"/>
        <v>45816</v>
      </c>
      <c r="D17" s="49"/>
      <c r="E17" s="50"/>
      <c r="F17" s="42"/>
      <c r="G17" s="49"/>
      <c r="H17" s="51"/>
      <c r="I17" s="51"/>
      <c r="J17" s="19"/>
      <c r="K17" s="21" t="s">
        <v>9</v>
      </c>
      <c r="L17" s="46"/>
      <c r="M17" s="21" t="s">
        <v>9</v>
      </c>
      <c r="N17" s="20"/>
      <c r="O17" s="42"/>
      <c r="P17" s="29"/>
      <c r="Q17" s="33" t="str">
        <f t="shared" si="0"/>
        <v/>
      </c>
    </row>
    <row r="18" spans="2:17" ht="27.6" customHeight="1" x14ac:dyDescent="0.45">
      <c r="B18" s="16">
        <f t="shared" si="2"/>
        <v>45817</v>
      </c>
      <c r="C18" s="14">
        <f t="shared" si="1"/>
        <v>45817</v>
      </c>
      <c r="D18" s="49"/>
      <c r="E18" s="50"/>
      <c r="F18" s="42"/>
      <c r="G18" s="49"/>
      <c r="H18" s="51"/>
      <c r="I18" s="51"/>
      <c r="J18" s="19"/>
      <c r="K18" s="21" t="s">
        <v>9</v>
      </c>
      <c r="L18" s="46"/>
      <c r="M18" s="21" t="s">
        <v>9</v>
      </c>
      <c r="N18" s="20"/>
      <c r="O18" s="42"/>
      <c r="P18" s="29"/>
      <c r="Q18" s="33" t="str">
        <f t="shared" si="0"/>
        <v/>
      </c>
    </row>
    <row r="19" spans="2:17" ht="27.6" customHeight="1" x14ac:dyDescent="0.45">
      <c r="B19" s="16">
        <f t="shared" si="2"/>
        <v>45818</v>
      </c>
      <c r="C19" s="14">
        <f t="shared" si="1"/>
        <v>45818</v>
      </c>
      <c r="D19" s="49"/>
      <c r="E19" s="50"/>
      <c r="F19" s="42"/>
      <c r="G19" s="49"/>
      <c r="H19" s="51"/>
      <c r="I19" s="51"/>
      <c r="J19" s="19"/>
      <c r="K19" s="21" t="s">
        <v>9</v>
      </c>
      <c r="L19" s="46"/>
      <c r="M19" s="21" t="s">
        <v>9</v>
      </c>
      <c r="N19" s="20"/>
      <c r="O19" s="42"/>
      <c r="P19" s="29"/>
      <c r="Q19" s="33" t="str">
        <f t="shared" si="0"/>
        <v/>
      </c>
    </row>
    <row r="20" spans="2:17" ht="27.6" customHeight="1" x14ac:dyDescent="0.45">
      <c r="B20" s="16">
        <f t="shared" si="2"/>
        <v>45819</v>
      </c>
      <c r="C20" s="14">
        <f t="shared" si="1"/>
        <v>45819</v>
      </c>
      <c r="D20" s="49"/>
      <c r="E20" s="50"/>
      <c r="F20" s="42"/>
      <c r="G20" s="49"/>
      <c r="H20" s="51"/>
      <c r="I20" s="51"/>
      <c r="J20" s="19"/>
      <c r="K20" s="21" t="s">
        <v>9</v>
      </c>
      <c r="L20" s="46"/>
      <c r="M20" s="21" t="s">
        <v>9</v>
      </c>
      <c r="N20" s="20"/>
      <c r="O20" s="42"/>
      <c r="P20" s="29"/>
      <c r="Q20" s="33" t="str">
        <f t="shared" si="0"/>
        <v/>
      </c>
    </row>
    <row r="21" spans="2:17" ht="27.6" customHeight="1" x14ac:dyDescent="0.45">
      <c r="B21" s="16">
        <f t="shared" si="2"/>
        <v>45820</v>
      </c>
      <c r="C21" s="14">
        <f t="shared" si="1"/>
        <v>45820</v>
      </c>
      <c r="D21" s="49"/>
      <c r="E21" s="50"/>
      <c r="F21" s="42"/>
      <c r="G21" s="49"/>
      <c r="H21" s="51"/>
      <c r="I21" s="51"/>
      <c r="J21" s="19"/>
      <c r="K21" s="21" t="s">
        <v>9</v>
      </c>
      <c r="L21" s="46"/>
      <c r="M21" s="21" t="s">
        <v>9</v>
      </c>
      <c r="N21" s="20"/>
      <c r="O21" s="42"/>
      <c r="P21" s="29"/>
      <c r="Q21" s="33" t="str">
        <f t="shared" si="0"/>
        <v/>
      </c>
    </row>
    <row r="22" spans="2:17" ht="27.6" customHeight="1" x14ac:dyDescent="0.45">
      <c r="B22" s="16">
        <f t="shared" si="2"/>
        <v>45821</v>
      </c>
      <c r="C22" s="14">
        <f t="shared" si="1"/>
        <v>45821</v>
      </c>
      <c r="D22" s="49"/>
      <c r="E22" s="50"/>
      <c r="F22" s="42"/>
      <c r="G22" s="49"/>
      <c r="H22" s="51"/>
      <c r="I22" s="51"/>
      <c r="J22" s="19"/>
      <c r="K22" s="21" t="s">
        <v>9</v>
      </c>
      <c r="L22" s="46"/>
      <c r="M22" s="21" t="s">
        <v>9</v>
      </c>
      <c r="N22" s="20"/>
      <c r="O22" s="42"/>
      <c r="P22" s="29"/>
      <c r="Q22" s="33" t="str">
        <f t="shared" si="0"/>
        <v/>
      </c>
    </row>
    <row r="23" spans="2:17" ht="27.6" customHeight="1" x14ac:dyDescent="0.45">
      <c r="B23" s="16">
        <f t="shared" si="2"/>
        <v>45822</v>
      </c>
      <c r="C23" s="14">
        <f t="shared" si="1"/>
        <v>45822</v>
      </c>
      <c r="D23" s="49"/>
      <c r="E23" s="50"/>
      <c r="F23" s="42"/>
      <c r="G23" s="49"/>
      <c r="H23" s="51"/>
      <c r="I23" s="51"/>
      <c r="J23" s="19"/>
      <c r="K23" s="21" t="s">
        <v>9</v>
      </c>
      <c r="L23" s="46"/>
      <c r="M23" s="21" t="s">
        <v>9</v>
      </c>
      <c r="N23" s="20"/>
      <c r="O23" s="42"/>
      <c r="P23" s="29"/>
      <c r="Q23" s="33" t="str">
        <f t="shared" si="0"/>
        <v/>
      </c>
    </row>
    <row r="24" spans="2:17" ht="27.6" customHeight="1" x14ac:dyDescent="0.45">
      <c r="B24" s="16">
        <f t="shared" si="2"/>
        <v>45823</v>
      </c>
      <c r="C24" s="14">
        <f t="shared" si="1"/>
        <v>45823</v>
      </c>
      <c r="D24" s="49"/>
      <c r="E24" s="50"/>
      <c r="F24" s="42"/>
      <c r="G24" s="49"/>
      <c r="H24" s="51"/>
      <c r="I24" s="51"/>
      <c r="J24" s="19"/>
      <c r="K24" s="21" t="s">
        <v>9</v>
      </c>
      <c r="L24" s="46"/>
      <c r="M24" s="21" t="s">
        <v>9</v>
      </c>
      <c r="N24" s="20"/>
      <c r="O24" s="42"/>
      <c r="P24" s="29"/>
      <c r="Q24" s="33" t="str">
        <f t="shared" si="0"/>
        <v/>
      </c>
    </row>
    <row r="25" spans="2:17" ht="27.6" customHeight="1" x14ac:dyDescent="0.45">
      <c r="B25" s="16">
        <f t="shared" si="2"/>
        <v>45824</v>
      </c>
      <c r="C25" s="14">
        <f t="shared" si="1"/>
        <v>45824</v>
      </c>
      <c r="D25" s="49"/>
      <c r="E25" s="50"/>
      <c r="F25" s="42"/>
      <c r="G25" s="49"/>
      <c r="H25" s="51"/>
      <c r="I25" s="51"/>
      <c r="J25" s="19"/>
      <c r="K25" s="21" t="s">
        <v>9</v>
      </c>
      <c r="L25" s="46"/>
      <c r="M25" s="21" t="s">
        <v>9</v>
      </c>
      <c r="N25" s="20"/>
      <c r="O25" s="42"/>
      <c r="P25" s="29"/>
      <c r="Q25" s="33" t="str">
        <f t="shared" si="0"/>
        <v/>
      </c>
    </row>
    <row r="26" spans="2:17" ht="27.6" customHeight="1" x14ac:dyDescent="0.45">
      <c r="B26" s="16">
        <f t="shared" si="2"/>
        <v>45825</v>
      </c>
      <c r="C26" s="14">
        <f t="shared" si="1"/>
        <v>45825</v>
      </c>
      <c r="D26" s="49"/>
      <c r="E26" s="50"/>
      <c r="F26" s="42"/>
      <c r="G26" s="49"/>
      <c r="H26" s="51"/>
      <c r="I26" s="51"/>
      <c r="J26" s="19"/>
      <c r="K26" s="21" t="s">
        <v>9</v>
      </c>
      <c r="L26" s="46"/>
      <c r="M26" s="21" t="s">
        <v>9</v>
      </c>
      <c r="N26" s="20"/>
      <c r="O26" s="42"/>
      <c r="P26" s="29"/>
      <c r="Q26" s="33" t="str">
        <f t="shared" si="0"/>
        <v/>
      </c>
    </row>
    <row r="27" spans="2:17" ht="27.6" customHeight="1" x14ac:dyDescent="0.45">
      <c r="B27" s="16">
        <f t="shared" si="2"/>
        <v>45826</v>
      </c>
      <c r="C27" s="14">
        <f t="shared" si="1"/>
        <v>45826</v>
      </c>
      <c r="D27" s="49"/>
      <c r="E27" s="50"/>
      <c r="F27" s="42"/>
      <c r="G27" s="49"/>
      <c r="H27" s="51"/>
      <c r="I27" s="51"/>
      <c r="J27" s="19"/>
      <c r="K27" s="21" t="s">
        <v>9</v>
      </c>
      <c r="L27" s="46"/>
      <c r="M27" s="21" t="s">
        <v>9</v>
      </c>
      <c r="N27" s="20"/>
      <c r="O27" s="42"/>
      <c r="P27" s="29"/>
      <c r="Q27" s="33" t="str">
        <f t="shared" si="0"/>
        <v/>
      </c>
    </row>
    <row r="28" spans="2:17" ht="27.6" customHeight="1" x14ac:dyDescent="0.45">
      <c r="B28" s="16">
        <f t="shared" si="2"/>
        <v>45827</v>
      </c>
      <c r="C28" s="14">
        <f t="shared" si="1"/>
        <v>45827</v>
      </c>
      <c r="D28" s="49"/>
      <c r="E28" s="50"/>
      <c r="F28" s="42"/>
      <c r="G28" s="49"/>
      <c r="H28" s="51"/>
      <c r="I28" s="51"/>
      <c r="J28" s="19"/>
      <c r="K28" s="21" t="s">
        <v>9</v>
      </c>
      <c r="L28" s="46"/>
      <c r="M28" s="21" t="s">
        <v>9</v>
      </c>
      <c r="N28" s="20"/>
      <c r="O28" s="42"/>
      <c r="P28" s="29"/>
      <c r="Q28" s="33" t="str">
        <f t="shared" si="0"/>
        <v/>
      </c>
    </row>
    <row r="29" spans="2:17" ht="27.6" customHeight="1" x14ac:dyDescent="0.45">
      <c r="B29" s="16">
        <f t="shared" si="2"/>
        <v>45828</v>
      </c>
      <c r="C29" s="14">
        <f t="shared" si="1"/>
        <v>45828</v>
      </c>
      <c r="D29" s="49"/>
      <c r="E29" s="50"/>
      <c r="F29" s="42"/>
      <c r="G29" s="49"/>
      <c r="H29" s="51"/>
      <c r="I29" s="51"/>
      <c r="J29" s="19"/>
      <c r="K29" s="21" t="s">
        <v>9</v>
      </c>
      <c r="L29" s="46"/>
      <c r="M29" s="21" t="s">
        <v>9</v>
      </c>
      <c r="N29" s="20"/>
      <c r="O29" s="42"/>
      <c r="P29" s="29"/>
      <c r="Q29" s="33" t="str">
        <f t="shared" si="0"/>
        <v/>
      </c>
    </row>
    <row r="30" spans="2:17" ht="27.6" customHeight="1" x14ac:dyDescent="0.45">
      <c r="B30" s="16">
        <f t="shared" si="2"/>
        <v>45829</v>
      </c>
      <c r="C30" s="14">
        <f t="shared" si="1"/>
        <v>45829</v>
      </c>
      <c r="D30" s="49"/>
      <c r="E30" s="50"/>
      <c r="F30" s="42"/>
      <c r="G30" s="49"/>
      <c r="H30" s="51"/>
      <c r="I30" s="51"/>
      <c r="J30" s="19"/>
      <c r="K30" s="21" t="s">
        <v>9</v>
      </c>
      <c r="L30" s="46"/>
      <c r="M30" s="21" t="s">
        <v>9</v>
      </c>
      <c r="N30" s="20"/>
      <c r="O30" s="42"/>
      <c r="P30" s="29"/>
      <c r="Q30" s="33" t="str">
        <f t="shared" si="0"/>
        <v/>
      </c>
    </row>
    <row r="31" spans="2:17" ht="27.6" customHeight="1" x14ac:dyDescent="0.45">
      <c r="B31" s="16">
        <f t="shared" si="2"/>
        <v>45830</v>
      </c>
      <c r="C31" s="14">
        <f t="shared" si="1"/>
        <v>45830</v>
      </c>
      <c r="D31" s="49"/>
      <c r="E31" s="50"/>
      <c r="F31" s="42"/>
      <c r="G31" s="49"/>
      <c r="H31" s="51"/>
      <c r="I31" s="51"/>
      <c r="J31" s="19"/>
      <c r="K31" s="21" t="s">
        <v>9</v>
      </c>
      <c r="L31" s="46"/>
      <c r="M31" s="21" t="s">
        <v>9</v>
      </c>
      <c r="N31" s="20"/>
      <c r="O31" s="42"/>
      <c r="P31" s="29"/>
      <c r="Q31" s="33" t="str">
        <f t="shared" si="0"/>
        <v/>
      </c>
    </row>
    <row r="32" spans="2:17" ht="27.6" customHeight="1" x14ac:dyDescent="0.45">
      <c r="B32" s="16">
        <f t="shared" si="2"/>
        <v>45831</v>
      </c>
      <c r="C32" s="14">
        <f t="shared" si="1"/>
        <v>45831</v>
      </c>
      <c r="D32" s="49"/>
      <c r="E32" s="50"/>
      <c r="F32" s="42"/>
      <c r="G32" s="49"/>
      <c r="H32" s="51"/>
      <c r="I32" s="51"/>
      <c r="J32" s="19"/>
      <c r="K32" s="21" t="s">
        <v>9</v>
      </c>
      <c r="L32" s="46"/>
      <c r="M32" s="21" t="s">
        <v>9</v>
      </c>
      <c r="N32" s="20"/>
      <c r="O32" s="42"/>
      <c r="P32" s="29"/>
      <c r="Q32" s="33" t="str">
        <f t="shared" si="0"/>
        <v/>
      </c>
    </row>
    <row r="33" spans="2:20" ht="27.6" customHeight="1" x14ac:dyDescent="0.45">
      <c r="B33" s="16">
        <f t="shared" si="2"/>
        <v>45832</v>
      </c>
      <c r="C33" s="14">
        <f t="shared" si="1"/>
        <v>45832</v>
      </c>
      <c r="D33" s="49"/>
      <c r="E33" s="50"/>
      <c r="F33" s="42"/>
      <c r="G33" s="49"/>
      <c r="H33" s="51"/>
      <c r="I33" s="51"/>
      <c r="J33" s="19"/>
      <c r="K33" s="21" t="s">
        <v>9</v>
      </c>
      <c r="L33" s="46"/>
      <c r="M33" s="21" t="s">
        <v>9</v>
      </c>
      <c r="N33" s="20"/>
      <c r="O33" s="42"/>
      <c r="P33" s="29"/>
      <c r="Q33" s="33" t="str">
        <f t="shared" si="0"/>
        <v/>
      </c>
    </row>
    <row r="34" spans="2:20" ht="27.6" customHeight="1" x14ac:dyDescent="0.45">
      <c r="B34" s="16">
        <f t="shared" si="2"/>
        <v>45833</v>
      </c>
      <c r="C34" s="14">
        <f t="shared" si="1"/>
        <v>45833</v>
      </c>
      <c r="D34" s="49"/>
      <c r="E34" s="50"/>
      <c r="F34" s="42"/>
      <c r="G34" s="49"/>
      <c r="H34" s="51"/>
      <c r="I34" s="51"/>
      <c r="J34" s="19"/>
      <c r="K34" s="21" t="s">
        <v>9</v>
      </c>
      <c r="L34" s="46"/>
      <c r="M34" s="21" t="s">
        <v>9</v>
      </c>
      <c r="N34" s="20"/>
      <c r="O34" s="42"/>
      <c r="P34" s="29"/>
      <c r="Q34" s="33" t="str">
        <f t="shared" si="0"/>
        <v/>
      </c>
    </row>
    <row r="35" spans="2:20" ht="27.6" customHeight="1" x14ac:dyDescent="0.45">
      <c r="B35" s="16">
        <f t="shared" si="2"/>
        <v>45834</v>
      </c>
      <c r="C35" s="14">
        <f t="shared" si="1"/>
        <v>45834</v>
      </c>
      <c r="D35" s="49"/>
      <c r="E35" s="50"/>
      <c r="F35" s="42"/>
      <c r="G35" s="49"/>
      <c r="H35" s="51"/>
      <c r="I35" s="51"/>
      <c r="J35" s="19"/>
      <c r="K35" s="21" t="s">
        <v>9</v>
      </c>
      <c r="L35" s="46"/>
      <c r="M35" s="21" t="s">
        <v>9</v>
      </c>
      <c r="N35" s="20"/>
      <c r="O35" s="42"/>
      <c r="P35" s="29"/>
      <c r="Q35" s="33" t="str">
        <f t="shared" si="0"/>
        <v/>
      </c>
    </row>
    <row r="36" spans="2:20" ht="27.6" customHeight="1" x14ac:dyDescent="0.45">
      <c r="B36" s="16">
        <f t="shared" si="2"/>
        <v>45835</v>
      </c>
      <c r="C36" s="14">
        <f t="shared" si="1"/>
        <v>45835</v>
      </c>
      <c r="D36" s="49"/>
      <c r="E36" s="50"/>
      <c r="F36" s="42"/>
      <c r="G36" s="49"/>
      <c r="H36" s="51"/>
      <c r="I36" s="51"/>
      <c r="J36" s="19"/>
      <c r="K36" s="21" t="s">
        <v>9</v>
      </c>
      <c r="L36" s="46"/>
      <c r="M36" s="21" t="s">
        <v>9</v>
      </c>
      <c r="N36" s="20"/>
      <c r="O36" s="42"/>
      <c r="P36" s="29"/>
      <c r="Q36" s="33" t="str">
        <f t="shared" si="0"/>
        <v/>
      </c>
    </row>
    <row r="37" spans="2:20" ht="27.6" customHeight="1" x14ac:dyDescent="0.45">
      <c r="B37" s="16">
        <f t="shared" si="2"/>
        <v>45836</v>
      </c>
      <c r="C37" s="14">
        <f t="shared" si="1"/>
        <v>45836</v>
      </c>
      <c r="D37" s="49"/>
      <c r="E37" s="50"/>
      <c r="F37" s="42"/>
      <c r="G37" s="49"/>
      <c r="H37" s="51"/>
      <c r="I37" s="51"/>
      <c r="J37" s="19"/>
      <c r="K37" s="21" t="s">
        <v>9</v>
      </c>
      <c r="L37" s="46"/>
      <c r="M37" s="21" t="s">
        <v>9</v>
      </c>
      <c r="N37" s="20"/>
      <c r="O37" s="42"/>
      <c r="P37" s="29"/>
      <c r="Q37" s="33" t="str">
        <f t="shared" si="0"/>
        <v/>
      </c>
    </row>
    <row r="38" spans="2:20" ht="27.6" customHeight="1" x14ac:dyDescent="0.45">
      <c r="B38" s="16">
        <f t="shared" si="2"/>
        <v>45837</v>
      </c>
      <c r="C38" s="14">
        <f t="shared" si="1"/>
        <v>45837</v>
      </c>
      <c r="D38" s="49"/>
      <c r="E38" s="50"/>
      <c r="F38" s="42"/>
      <c r="G38" s="49"/>
      <c r="H38" s="51"/>
      <c r="I38" s="51"/>
      <c r="J38" s="19"/>
      <c r="K38" s="21" t="s">
        <v>9</v>
      </c>
      <c r="L38" s="46"/>
      <c r="M38" s="21" t="s">
        <v>9</v>
      </c>
      <c r="N38" s="20"/>
      <c r="O38" s="42"/>
      <c r="P38" s="29"/>
      <c r="Q38" s="33" t="str">
        <f t="shared" si="0"/>
        <v/>
      </c>
    </row>
    <row r="39" spans="2:20" ht="27.6" customHeight="1" x14ac:dyDescent="0.45">
      <c r="B39" s="16">
        <f t="shared" si="2"/>
        <v>45838</v>
      </c>
      <c r="C39" s="14">
        <f t="shared" si="1"/>
        <v>45838</v>
      </c>
      <c r="D39" s="49"/>
      <c r="E39" s="50"/>
      <c r="F39" s="42"/>
      <c r="G39" s="49"/>
      <c r="H39" s="51"/>
      <c r="I39" s="51"/>
      <c r="J39" s="19"/>
      <c r="K39" s="21" t="s">
        <v>9</v>
      </c>
      <c r="L39" s="46"/>
      <c r="M39" s="21" t="s">
        <v>9</v>
      </c>
      <c r="N39" s="20"/>
      <c r="O39" s="42"/>
      <c r="P39" s="29"/>
      <c r="Q39" s="33" t="str">
        <f t="shared" si="0"/>
        <v/>
      </c>
    </row>
    <row r="40" spans="2:20" ht="27.6" customHeight="1" thickBot="1" x14ac:dyDescent="0.5">
      <c r="B40" s="17" t="str">
        <f t="shared" si="2"/>
        <v/>
      </c>
      <c r="C40" s="15" t="str">
        <f t="shared" si="1"/>
        <v/>
      </c>
      <c r="D40" s="52"/>
      <c r="E40" s="53"/>
      <c r="F40" s="43"/>
      <c r="G40" s="52"/>
      <c r="H40" s="54"/>
      <c r="I40" s="54"/>
      <c r="J40" s="25"/>
      <c r="K40" s="22" t="s">
        <v>9</v>
      </c>
      <c r="L40" s="39"/>
      <c r="M40" s="22" t="s">
        <v>9</v>
      </c>
      <c r="N40" s="26"/>
      <c r="O40" s="31"/>
      <c r="P40" s="30"/>
      <c r="Q40" s="34" t="str">
        <f t="shared" si="0"/>
        <v/>
      </c>
    </row>
    <row r="41" spans="2:20" ht="6.75" customHeight="1" x14ac:dyDescent="0.45">
      <c r="P41" s="23"/>
      <c r="Q41" s="23"/>
    </row>
    <row r="42" spans="2:20" x14ac:dyDescent="0.45">
      <c r="P42" s="40"/>
      <c r="Q42" s="40"/>
      <c r="S42" s="18"/>
      <c r="T42" s="18"/>
    </row>
    <row r="43" spans="2:20" ht="24.75" customHeight="1" x14ac:dyDescent="0.45">
      <c r="P43" s="41"/>
      <c r="Q43" s="41"/>
    </row>
    <row r="44" spans="2:20" ht="24.75" customHeight="1" x14ac:dyDescent="0.45">
      <c r="P44" s="41"/>
      <c r="Q44" s="41"/>
    </row>
    <row r="45" spans="2:20" ht="9.75" customHeight="1" x14ac:dyDescent="0.45"/>
  </sheetData>
  <mergeCells count="71">
    <mergeCell ref="B6:D6"/>
    <mergeCell ref="E6:H6"/>
    <mergeCell ref="O1:Q1"/>
    <mergeCell ref="G3:I3"/>
    <mergeCell ref="J3:Q3"/>
    <mergeCell ref="G4:I4"/>
    <mergeCell ref="J4:Q4"/>
    <mergeCell ref="D9:E9"/>
    <mergeCell ref="G9:I9"/>
    <mergeCell ref="D10:E10"/>
    <mergeCell ref="G10:I10"/>
    <mergeCell ref="D11:E11"/>
    <mergeCell ref="G11:I11"/>
    <mergeCell ref="D12:E12"/>
    <mergeCell ref="G12:I12"/>
    <mergeCell ref="D13:E13"/>
    <mergeCell ref="G13:I13"/>
    <mergeCell ref="D14:E14"/>
    <mergeCell ref="G14:I14"/>
    <mergeCell ref="D15:E15"/>
    <mergeCell ref="G15:I15"/>
    <mergeCell ref="D16:E16"/>
    <mergeCell ref="G16:I16"/>
    <mergeCell ref="D17:E17"/>
    <mergeCell ref="G17:I17"/>
    <mergeCell ref="D18:E18"/>
    <mergeCell ref="G18:I18"/>
    <mergeCell ref="D19:E19"/>
    <mergeCell ref="G19:I19"/>
    <mergeCell ref="D20:E20"/>
    <mergeCell ref="G20:I20"/>
    <mergeCell ref="D21:E21"/>
    <mergeCell ref="G21:I21"/>
    <mergeCell ref="D22:E22"/>
    <mergeCell ref="G22:I22"/>
    <mergeCell ref="D23:E23"/>
    <mergeCell ref="G23:I23"/>
    <mergeCell ref="D24:E24"/>
    <mergeCell ref="G24:I24"/>
    <mergeCell ref="D25:E25"/>
    <mergeCell ref="G25:I25"/>
    <mergeCell ref="D26:E26"/>
    <mergeCell ref="G26:I26"/>
    <mergeCell ref="D27:E27"/>
    <mergeCell ref="G27:I27"/>
    <mergeCell ref="D28:E28"/>
    <mergeCell ref="G28:I28"/>
    <mergeCell ref="D29:E29"/>
    <mergeCell ref="G29:I29"/>
    <mergeCell ref="D30:E30"/>
    <mergeCell ref="G30:I30"/>
    <mergeCell ref="D31:E31"/>
    <mergeCell ref="G31:I31"/>
    <mergeCell ref="D32:E32"/>
    <mergeCell ref="G32:I32"/>
    <mergeCell ref="D33:E33"/>
    <mergeCell ref="G33:I33"/>
    <mergeCell ref="D34:E34"/>
    <mergeCell ref="G34:I34"/>
    <mergeCell ref="D35:E35"/>
    <mergeCell ref="G35:I35"/>
    <mergeCell ref="D39:E39"/>
    <mergeCell ref="G39:I39"/>
    <mergeCell ref="D40:E40"/>
    <mergeCell ref="G40:I40"/>
    <mergeCell ref="D36:E36"/>
    <mergeCell ref="G36:I36"/>
    <mergeCell ref="D37:E37"/>
    <mergeCell ref="G37:I37"/>
    <mergeCell ref="D38:E38"/>
    <mergeCell ref="G38:I38"/>
  </mergeCells>
  <phoneticPr fontId="3"/>
  <printOptions horizontalCentered="1"/>
  <pageMargins left="0" right="0" top="0" bottom="0" header="0" footer="0"/>
  <pageSetup paperSize="9"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66C65F-E1F0-4DB4-9A1B-E23EF997BD17}">
          <x14:formula1>
            <xm:f>ドロップダウンリスト!$A$3:$A$4</xm:f>
          </x14:formula1>
          <xm:sqref>O10:O40</xm:sqref>
        </x14:dataValidation>
        <x14:dataValidation type="list" allowBlank="1" showInputMessage="1" showErrorMessage="1" xr:uid="{CA22E8CB-0398-4A7A-A6B2-EFF01987FCA0}">
          <x14:formula1>
            <xm:f>ドロップダウンリスト!$B$3:$B$7</xm:f>
          </x14:formula1>
          <xm:sqref>D10:E40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77B8-983F-4BBD-893D-95D30F5D79D4}">
  <sheetPr>
    <tabColor rgb="FFFFFF00"/>
    <pageSetUpPr fitToPage="1"/>
  </sheetPr>
  <dimension ref="B1:U45"/>
  <sheetViews>
    <sheetView zoomScaleNormal="100" workbookViewId="0">
      <selection activeCell="G10" sqref="G10:J10"/>
    </sheetView>
  </sheetViews>
  <sheetFormatPr defaultRowHeight="18" x14ac:dyDescent="0.45"/>
  <cols>
    <col min="1" max="1" width="2.19921875" customWidth="1"/>
    <col min="2" max="3" width="8" customWidth="1"/>
    <col min="4" max="4" width="16.69921875" customWidth="1"/>
    <col min="5" max="5" width="3.59765625" customWidth="1"/>
    <col min="6" max="6" width="16.69921875" customWidth="1"/>
    <col min="7" max="7" width="15.59765625" customWidth="1"/>
    <col min="8" max="10" width="8.69921875" customWidth="1"/>
    <col min="11" max="11" width="10.69921875" customWidth="1"/>
    <col min="12" max="12" width="2.8984375" bestFit="1" customWidth="1"/>
    <col min="13" max="13" width="10.69921875" style="18" customWidth="1"/>
    <col min="14" max="14" width="2.8984375" bestFit="1" customWidth="1"/>
    <col min="15" max="16" width="10.69921875" customWidth="1"/>
    <col min="17" max="18" width="9" bestFit="1" customWidth="1"/>
    <col min="19" max="19" width="2.19921875" customWidth="1"/>
  </cols>
  <sheetData>
    <row r="1" spans="2:18" ht="32.25" customHeight="1" x14ac:dyDescent="0.45">
      <c r="B1" s="1" t="str">
        <f>電車通勤費報告書【原本】!B1</f>
        <v>電車通勤費報告書</v>
      </c>
      <c r="K1" s="32"/>
      <c r="L1" s="32"/>
      <c r="M1" s="45"/>
      <c r="N1" s="32"/>
      <c r="O1" s="32"/>
      <c r="P1" s="60" t="s">
        <v>6</v>
      </c>
      <c r="Q1" s="60"/>
      <c r="R1" s="60"/>
    </row>
    <row r="2" spans="2:18" ht="8.25" customHeight="1" thickBot="1" x14ac:dyDescent="0.5"/>
    <row r="3" spans="2:18" ht="29.25" customHeight="1" x14ac:dyDescent="0.45">
      <c r="B3" s="2" t="s">
        <v>0</v>
      </c>
      <c r="C3" s="3" t="s">
        <v>1</v>
      </c>
      <c r="D3" s="4" t="s">
        <v>2</v>
      </c>
      <c r="E3" s="5" t="s">
        <v>3</v>
      </c>
      <c r="F3" s="6" t="s">
        <v>4</v>
      </c>
      <c r="G3" s="55" t="s">
        <v>22</v>
      </c>
      <c r="H3" s="57"/>
      <c r="I3" s="56"/>
      <c r="J3" s="55" t="s">
        <v>12</v>
      </c>
      <c r="K3" s="57"/>
      <c r="L3" s="57"/>
      <c r="M3" s="57"/>
      <c r="N3" s="57"/>
      <c r="O3" s="57"/>
      <c r="P3" s="57"/>
      <c r="Q3" s="57"/>
      <c r="R3" s="61"/>
    </row>
    <row r="4" spans="2:18" ht="29.25" customHeight="1" thickBot="1" x14ac:dyDescent="0.5">
      <c r="B4" s="7">
        <v>2025</v>
      </c>
      <c r="C4" s="8">
        <v>6</v>
      </c>
      <c r="D4" s="10">
        <f>IF(OR(B4="",C4=""),"",DATE(B4,C4,1))</f>
        <v>45809</v>
      </c>
      <c r="E4" s="9" t="str">
        <f>IF(D4="","","～")</f>
        <v>～</v>
      </c>
      <c r="F4" s="11">
        <f>IF(OR(B4="",C4=""),"",DATE(B4,C4+1,1)-1)</f>
        <v>45838</v>
      </c>
      <c r="G4" s="62" t="s">
        <v>11</v>
      </c>
      <c r="H4" s="63"/>
      <c r="I4" s="64"/>
      <c r="J4" s="62" t="s">
        <v>13</v>
      </c>
      <c r="K4" s="63"/>
      <c r="L4" s="63"/>
      <c r="M4" s="63"/>
      <c r="N4" s="63"/>
      <c r="O4" s="63"/>
      <c r="P4" s="63"/>
      <c r="Q4" s="63"/>
      <c r="R4" s="65"/>
    </row>
    <row r="5" spans="2:18" ht="8.25" customHeight="1" thickBot="1" x14ac:dyDescent="0.5"/>
    <row r="6" spans="2:18" ht="35.25" customHeight="1" thickBot="1" x14ac:dyDescent="0.5">
      <c r="B6" s="58" t="s">
        <v>16</v>
      </c>
      <c r="C6" s="58"/>
      <c r="D6" s="58"/>
      <c r="E6" s="59">
        <f>SUM(R10:R40)</f>
        <v>36164</v>
      </c>
      <c r="F6" s="59"/>
      <c r="G6" s="59"/>
      <c r="H6" s="59"/>
    </row>
    <row r="7" spans="2:18" ht="8.25" customHeight="1" x14ac:dyDescent="0.45"/>
    <row r="8" spans="2:18" ht="18.600000000000001" thickBot="1" x14ac:dyDescent="0.5">
      <c r="B8" t="s">
        <v>36</v>
      </c>
    </row>
    <row r="9" spans="2:18" ht="21" customHeight="1" x14ac:dyDescent="0.45">
      <c r="B9" s="13" t="s">
        <v>5</v>
      </c>
      <c r="C9" s="12" t="s">
        <v>7</v>
      </c>
      <c r="D9" s="55" t="s">
        <v>39</v>
      </c>
      <c r="E9" s="56"/>
      <c r="F9" s="47" t="s">
        <v>35</v>
      </c>
      <c r="G9" s="55" t="s">
        <v>42</v>
      </c>
      <c r="H9" s="57"/>
      <c r="I9" s="57"/>
      <c r="J9" s="56"/>
      <c r="K9" s="4" t="s">
        <v>14</v>
      </c>
      <c r="L9" s="24"/>
      <c r="M9" s="37" t="s">
        <v>34</v>
      </c>
      <c r="N9" s="24"/>
      <c r="O9" s="6" t="s">
        <v>15</v>
      </c>
      <c r="P9" s="5" t="s">
        <v>17</v>
      </c>
      <c r="Q9" s="4" t="s">
        <v>19</v>
      </c>
      <c r="R9" s="35" t="s">
        <v>20</v>
      </c>
    </row>
    <row r="10" spans="2:18" ht="21" customHeight="1" x14ac:dyDescent="0.45">
      <c r="B10" s="16">
        <f>D4</f>
        <v>45809</v>
      </c>
      <c r="C10" s="14">
        <f>D4</f>
        <v>45809</v>
      </c>
      <c r="D10" s="49" t="s">
        <v>23</v>
      </c>
      <c r="E10" s="50"/>
      <c r="F10" s="42"/>
      <c r="G10" s="49" t="s">
        <v>8</v>
      </c>
      <c r="H10" s="51"/>
      <c r="I10" s="51"/>
      <c r="J10" s="50"/>
      <c r="K10" s="19" t="s">
        <v>25</v>
      </c>
      <c r="L10" s="21" t="s">
        <v>10</v>
      </c>
      <c r="M10" s="46"/>
      <c r="N10" s="21" t="s">
        <v>10</v>
      </c>
      <c r="O10" s="20" t="s">
        <v>26</v>
      </c>
      <c r="P10" s="28" t="s">
        <v>18</v>
      </c>
      <c r="Q10" s="29">
        <v>387</v>
      </c>
      <c r="R10" s="33">
        <f>IF(P10="往復", Q10*2, IF(P10="片道", Q10*1, ""))</f>
        <v>774</v>
      </c>
    </row>
    <row r="11" spans="2:18" ht="21" customHeight="1" x14ac:dyDescent="0.45">
      <c r="B11" s="16">
        <f>IF(B10&gt;=$F$4,"",B10+1)</f>
        <v>45810</v>
      </c>
      <c r="C11" s="14">
        <f>IF(C10&gt;=$F$4,"",C10+1)</f>
        <v>45810</v>
      </c>
      <c r="D11" s="49" t="s">
        <v>24</v>
      </c>
      <c r="E11" s="50"/>
      <c r="F11" s="42">
        <v>615</v>
      </c>
      <c r="G11" s="49" t="s">
        <v>27</v>
      </c>
      <c r="H11" s="51"/>
      <c r="I11" s="51"/>
      <c r="J11" s="50"/>
      <c r="K11" s="19" t="s">
        <v>28</v>
      </c>
      <c r="L11" s="21" t="s">
        <v>9</v>
      </c>
      <c r="M11" s="46"/>
      <c r="N11" s="21" t="s">
        <v>9</v>
      </c>
      <c r="O11" s="20" t="s">
        <v>29</v>
      </c>
      <c r="P11" s="28" t="s">
        <v>18</v>
      </c>
      <c r="Q11" s="29">
        <v>17140</v>
      </c>
      <c r="R11" s="33">
        <f t="shared" ref="R11:R40" si="0">IF(P11="往復", Q11*2, IF(P11="片道", Q11*1, ""))</f>
        <v>34280</v>
      </c>
    </row>
    <row r="12" spans="2:18" ht="21" customHeight="1" x14ac:dyDescent="0.45">
      <c r="B12" s="16">
        <f>IF(B11&gt;=$F$4,"",B11+1)</f>
        <v>45811</v>
      </c>
      <c r="C12" s="14">
        <f t="shared" ref="C12:C40" si="1">IF(C11&gt;=$F$4,"",C11+1)</f>
        <v>45811</v>
      </c>
      <c r="D12" s="49" t="s">
        <v>30</v>
      </c>
      <c r="E12" s="50"/>
      <c r="F12" s="42"/>
      <c r="G12" s="49" t="s">
        <v>32</v>
      </c>
      <c r="H12" s="51"/>
      <c r="I12" s="51"/>
      <c r="J12" s="50"/>
      <c r="K12" s="19" t="s">
        <v>28</v>
      </c>
      <c r="L12" s="21" t="s">
        <v>9</v>
      </c>
      <c r="M12" s="46" t="s">
        <v>33</v>
      </c>
      <c r="N12" s="21" t="s">
        <v>9</v>
      </c>
      <c r="O12" s="20" t="s">
        <v>26</v>
      </c>
      <c r="P12" s="28" t="s">
        <v>21</v>
      </c>
      <c r="Q12" s="29">
        <v>1110</v>
      </c>
      <c r="R12" s="33">
        <f t="shared" si="0"/>
        <v>1110</v>
      </c>
    </row>
    <row r="13" spans="2:18" ht="21" customHeight="1" x14ac:dyDescent="0.45">
      <c r="B13" s="16">
        <f t="shared" ref="B13:B27" si="2">IF(B12&gt;=$F$4,"",B12+1)</f>
        <v>45812</v>
      </c>
      <c r="C13" s="14">
        <f t="shared" si="1"/>
        <v>45812</v>
      </c>
      <c r="D13" s="49"/>
      <c r="E13" s="50"/>
      <c r="F13" s="42"/>
      <c r="G13" s="49"/>
      <c r="H13" s="51"/>
      <c r="I13" s="51"/>
      <c r="J13" s="50"/>
      <c r="K13" s="19"/>
      <c r="L13" s="21" t="s">
        <v>9</v>
      </c>
      <c r="M13" s="46"/>
      <c r="N13" s="21" t="s">
        <v>9</v>
      </c>
      <c r="O13" s="20"/>
      <c r="P13" s="28"/>
      <c r="Q13" s="29"/>
      <c r="R13" s="33" t="str">
        <f t="shared" si="0"/>
        <v/>
      </c>
    </row>
    <row r="14" spans="2:18" ht="21" customHeight="1" x14ac:dyDescent="0.45">
      <c r="B14" s="16">
        <f t="shared" si="2"/>
        <v>45813</v>
      </c>
      <c r="C14" s="14">
        <f t="shared" si="1"/>
        <v>45813</v>
      </c>
      <c r="D14" s="49"/>
      <c r="E14" s="50"/>
      <c r="F14" s="42"/>
      <c r="G14" s="49"/>
      <c r="H14" s="51"/>
      <c r="I14" s="51"/>
      <c r="J14" s="50"/>
      <c r="K14" s="19"/>
      <c r="L14" s="21" t="s">
        <v>9</v>
      </c>
      <c r="M14" s="46"/>
      <c r="N14" s="21" t="s">
        <v>9</v>
      </c>
      <c r="O14" s="20"/>
      <c r="P14" s="28"/>
      <c r="Q14" s="29"/>
      <c r="R14" s="33" t="str">
        <f t="shared" si="0"/>
        <v/>
      </c>
    </row>
    <row r="15" spans="2:18" ht="21" customHeight="1" x14ac:dyDescent="0.45">
      <c r="B15" s="16">
        <f t="shared" si="2"/>
        <v>45814</v>
      </c>
      <c r="C15" s="14">
        <f t="shared" si="1"/>
        <v>45814</v>
      </c>
      <c r="D15" s="49"/>
      <c r="E15" s="50"/>
      <c r="F15" s="42"/>
      <c r="G15" s="49"/>
      <c r="H15" s="51"/>
      <c r="I15" s="51"/>
      <c r="J15" s="50"/>
      <c r="K15" s="19"/>
      <c r="L15" s="21" t="s">
        <v>9</v>
      </c>
      <c r="M15" s="46"/>
      <c r="N15" s="21" t="s">
        <v>9</v>
      </c>
      <c r="O15" s="20"/>
      <c r="P15" s="28"/>
      <c r="Q15" s="29"/>
      <c r="R15" s="33" t="str">
        <f t="shared" si="0"/>
        <v/>
      </c>
    </row>
    <row r="16" spans="2:18" ht="21" customHeight="1" x14ac:dyDescent="0.45">
      <c r="B16" s="16">
        <f t="shared" si="2"/>
        <v>45815</v>
      </c>
      <c r="C16" s="14">
        <f t="shared" si="1"/>
        <v>45815</v>
      </c>
      <c r="D16" s="49"/>
      <c r="E16" s="50"/>
      <c r="F16" s="42"/>
      <c r="G16" s="49"/>
      <c r="H16" s="51"/>
      <c r="I16" s="51"/>
      <c r="J16" s="50"/>
      <c r="K16" s="19"/>
      <c r="L16" s="21" t="s">
        <v>9</v>
      </c>
      <c r="M16" s="46"/>
      <c r="N16" s="21" t="s">
        <v>9</v>
      </c>
      <c r="O16" s="20"/>
      <c r="P16" s="28"/>
      <c r="Q16" s="29"/>
      <c r="R16" s="33" t="str">
        <f t="shared" si="0"/>
        <v/>
      </c>
    </row>
    <row r="17" spans="2:18" ht="21" customHeight="1" x14ac:dyDescent="0.45">
      <c r="B17" s="16">
        <f t="shared" si="2"/>
        <v>45816</v>
      </c>
      <c r="C17" s="14">
        <f t="shared" si="1"/>
        <v>45816</v>
      </c>
      <c r="D17" s="49"/>
      <c r="E17" s="50"/>
      <c r="F17" s="42"/>
      <c r="G17" s="49"/>
      <c r="H17" s="51"/>
      <c r="I17" s="51"/>
      <c r="J17" s="50"/>
      <c r="K17" s="19"/>
      <c r="L17" s="21" t="s">
        <v>9</v>
      </c>
      <c r="M17" s="46"/>
      <c r="N17" s="21" t="s">
        <v>9</v>
      </c>
      <c r="O17" s="20"/>
      <c r="P17" s="28"/>
      <c r="Q17" s="29"/>
      <c r="R17" s="33" t="str">
        <f t="shared" si="0"/>
        <v/>
      </c>
    </row>
    <row r="18" spans="2:18" ht="21" customHeight="1" x14ac:dyDescent="0.45">
      <c r="B18" s="16">
        <f t="shared" si="2"/>
        <v>45817</v>
      </c>
      <c r="C18" s="14">
        <f t="shared" si="1"/>
        <v>45817</v>
      </c>
      <c r="D18" s="49"/>
      <c r="E18" s="50"/>
      <c r="F18" s="42"/>
      <c r="G18" s="49"/>
      <c r="H18" s="51"/>
      <c r="I18" s="51"/>
      <c r="J18" s="50"/>
      <c r="K18" s="19"/>
      <c r="L18" s="21" t="s">
        <v>9</v>
      </c>
      <c r="M18" s="46"/>
      <c r="N18" s="21" t="s">
        <v>9</v>
      </c>
      <c r="O18" s="20"/>
      <c r="P18" s="28"/>
      <c r="Q18" s="29"/>
      <c r="R18" s="33" t="str">
        <f t="shared" si="0"/>
        <v/>
      </c>
    </row>
    <row r="19" spans="2:18" ht="21" customHeight="1" x14ac:dyDescent="0.45">
      <c r="B19" s="16">
        <f t="shared" si="2"/>
        <v>45818</v>
      </c>
      <c r="C19" s="14">
        <f t="shared" si="1"/>
        <v>45818</v>
      </c>
      <c r="D19" s="49"/>
      <c r="E19" s="50"/>
      <c r="F19" s="42"/>
      <c r="G19" s="49"/>
      <c r="H19" s="51"/>
      <c r="I19" s="51"/>
      <c r="J19" s="50"/>
      <c r="K19" s="19"/>
      <c r="L19" s="21" t="s">
        <v>9</v>
      </c>
      <c r="M19" s="46"/>
      <c r="N19" s="21" t="s">
        <v>9</v>
      </c>
      <c r="O19" s="20"/>
      <c r="P19" s="28"/>
      <c r="Q19" s="29"/>
      <c r="R19" s="33" t="str">
        <f t="shared" si="0"/>
        <v/>
      </c>
    </row>
    <row r="20" spans="2:18" ht="21" customHeight="1" x14ac:dyDescent="0.45">
      <c r="B20" s="16">
        <f t="shared" si="2"/>
        <v>45819</v>
      </c>
      <c r="C20" s="14">
        <f t="shared" si="1"/>
        <v>45819</v>
      </c>
      <c r="D20" s="49"/>
      <c r="E20" s="50"/>
      <c r="F20" s="42"/>
      <c r="G20" s="49"/>
      <c r="H20" s="51"/>
      <c r="I20" s="51"/>
      <c r="J20" s="50"/>
      <c r="K20" s="19"/>
      <c r="L20" s="21" t="s">
        <v>9</v>
      </c>
      <c r="M20" s="46"/>
      <c r="N20" s="21" t="s">
        <v>9</v>
      </c>
      <c r="O20" s="20"/>
      <c r="P20" s="28"/>
      <c r="Q20" s="29"/>
      <c r="R20" s="33" t="str">
        <f t="shared" si="0"/>
        <v/>
      </c>
    </row>
    <row r="21" spans="2:18" ht="21" customHeight="1" x14ac:dyDescent="0.45">
      <c r="B21" s="16">
        <f t="shared" si="2"/>
        <v>45820</v>
      </c>
      <c r="C21" s="14">
        <f t="shared" si="1"/>
        <v>45820</v>
      </c>
      <c r="D21" s="49"/>
      <c r="E21" s="50"/>
      <c r="F21" s="42"/>
      <c r="G21" s="49"/>
      <c r="H21" s="51"/>
      <c r="I21" s="51"/>
      <c r="J21" s="50"/>
      <c r="K21" s="19"/>
      <c r="L21" s="21" t="s">
        <v>9</v>
      </c>
      <c r="M21" s="46"/>
      <c r="N21" s="21" t="s">
        <v>9</v>
      </c>
      <c r="O21" s="20"/>
      <c r="P21" s="28"/>
      <c r="Q21" s="29"/>
      <c r="R21" s="33" t="str">
        <f t="shared" si="0"/>
        <v/>
      </c>
    </row>
    <row r="22" spans="2:18" ht="21" customHeight="1" x14ac:dyDescent="0.45">
      <c r="B22" s="16">
        <f t="shared" si="2"/>
        <v>45821</v>
      </c>
      <c r="C22" s="14">
        <f t="shared" si="1"/>
        <v>45821</v>
      </c>
      <c r="D22" s="49"/>
      <c r="E22" s="50"/>
      <c r="F22" s="42"/>
      <c r="G22" s="49"/>
      <c r="H22" s="51"/>
      <c r="I22" s="51"/>
      <c r="J22" s="50"/>
      <c r="K22" s="19"/>
      <c r="L22" s="21" t="s">
        <v>9</v>
      </c>
      <c r="M22" s="46"/>
      <c r="N22" s="21" t="s">
        <v>9</v>
      </c>
      <c r="O22" s="20"/>
      <c r="P22" s="28"/>
      <c r="Q22" s="29"/>
      <c r="R22" s="33" t="str">
        <f t="shared" si="0"/>
        <v/>
      </c>
    </row>
    <row r="23" spans="2:18" ht="21" customHeight="1" x14ac:dyDescent="0.45">
      <c r="B23" s="16">
        <f t="shared" si="2"/>
        <v>45822</v>
      </c>
      <c r="C23" s="14">
        <f t="shared" si="1"/>
        <v>45822</v>
      </c>
      <c r="D23" s="49"/>
      <c r="E23" s="50"/>
      <c r="F23" s="42"/>
      <c r="G23" s="49"/>
      <c r="H23" s="51"/>
      <c r="I23" s="51"/>
      <c r="J23" s="50"/>
      <c r="K23" s="19"/>
      <c r="L23" s="21" t="s">
        <v>9</v>
      </c>
      <c r="M23" s="46"/>
      <c r="N23" s="21" t="s">
        <v>9</v>
      </c>
      <c r="O23" s="20"/>
      <c r="P23" s="28"/>
      <c r="Q23" s="29"/>
      <c r="R23" s="33" t="str">
        <f t="shared" si="0"/>
        <v/>
      </c>
    </row>
    <row r="24" spans="2:18" ht="21" customHeight="1" x14ac:dyDescent="0.45">
      <c r="B24" s="16">
        <f t="shared" si="2"/>
        <v>45823</v>
      </c>
      <c r="C24" s="14">
        <f t="shared" si="1"/>
        <v>45823</v>
      </c>
      <c r="D24" s="49"/>
      <c r="E24" s="50"/>
      <c r="F24" s="42"/>
      <c r="G24" s="49"/>
      <c r="H24" s="51"/>
      <c r="I24" s="51"/>
      <c r="J24" s="50"/>
      <c r="K24" s="19"/>
      <c r="L24" s="21" t="s">
        <v>9</v>
      </c>
      <c r="M24" s="46"/>
      <c r="N24" s="21" t="s">
        <v>9</v>
      </c>
      <c r="O24" s="20"/>
      <c r="P24" s="28"/>
      <c r="Q24" s="29"/>
      <c r="R24" s="33" t="str">
        <f t="shared" si="0"/>
        <v/>
      </c>
    </row>
    <row r="25" spans="2:18" ht="21" customHeight="1" x14ac:dyDescent="0.45">
      <c r="B25" s="16">
        <f t="shared" si="2"/>
        <v>45824</v>
      </c>
      <c r="C25" s="14">
        <f t="shared" si="1"/>
        <v>45824</v>
      </c>
      <c r="D25" s="49"/>
      <c r="E25" s="50"/>
      <c r="F25" s="42"/>
      <c r="G25" s="49"/>
      <c r="H25" s="51"/>
      <c r="I25" s="51"/>
      <c r="J25" s="50"/>
      <c r="K25" s="19"/>
      <c r="L25" s="21" t="s">
        <v>9</v>
      </c>
      <c r="M25" s="46"/>
      <c r="N25" s="21" t="s">
        <v>9</v>
      </c>
      <c r="O25" s="20"/>
      <c r="P25" s="28"/>
      <c r="Q25" s="29"/>
      <c r="R25" s="33" t="str">
        <f t="shared" si="0"/>
        <v/>
      </c>
    </row>
    <row r="26" spans="2:18" ht="21" customHeight="1" x14ac:dyDescent="0.45">
      <c r="B26" s="16">
        <f t="shared" si="2"/>
        <v>45825</v>
      </c>
      <c r="C26" s="14">
        <f t="shared" si="1"/>
        <v>45825</v>
      </c>
      <c r="D26" s="49"/>
      <c r="E26" s="50"/>
      <c r="F26" s="42"/>
      <c r="G26" s="49"/>
      <c r="H26" s="51"/>
      <c r="I26" s="51"/>
      <c r="J26" s="50"/>
      <c r="K26" s="19"/>
      <c r="L26" s="21" t="s">
        <v>9</v>
      </c>
      <c r="M26" s="46"/>
      <c r="N26" s="21" t="s">
        <v>9</v>
      </c>
      <c r="O26" s="20"/>
      <c r="P26" s="28"/>
      <c r="Q26" s="29"/>
      <c r="R26" s="33" t="str">
        <f t="shared" si="0"/>
        <v/>
      </c>
    </row>
    <row r="27" spans="2:18" ht="21" customHeight="1" x14ac:dyDescent="0.45">
      <c r="B27" s="16">
        <f t="shared" si="2"/>
        <v>45826</v>
      </c>
      <c r="C27" s="14">
        <f t="shared" si="1"/>
        <v>45826</v>
      </c>
      <c r="D27" s="49"/>
      <c r="E27" s="50"/>
      <c r="F27" s="42"/>
      <c r="G27" s="49"/>
      <c r="H27" s="51"/>
      <c r="I27" s="51"/>
      <c r="J27" s="50"/>
      <c r="K27" s="19"/>
      <c r="L27" s="21" t="s">
        <v>9</v>
      </c>
      <c r="M27" s="46"/>
      <c r="N27" s="21" t="s">
        <v>9</v>
      </c>
      <c r="O27" s="20"/>
      <c r="P27" s="28"/>
      <c r="Q27" s="29"/>
      <c r="R27" s="33" t="str">
        <f t="shared" si="0"/>
        <v/>
      </c>
    </row>
    <row r="28" spans="2:18" ht="21" customHeight="1" x14ac:dyDescent="0.45">
      <c r="B28" s="16">
        <f t="shared" ref="B28:B40" si="3">IF(B27&gt;=$F$4,"",B27+1)</f>
        <v>45827</v>
      </c>
      <c r="C28" s="14">
        <f t="shared" si="1"/>
        <v>45827</v>
      </c>
      <c r="D28" s="49"/>
      <c r="E28" s="50"/>
      <c r="F28" s="42"/>
      <c r="G28" s="49"/>
      <c r="H28" s="51"/>
      <c r="I28" s="51"/>
      <c r="J28" s="50"/>
      <c r="K28" s="19"/>
      <c r="L28" s="21" t="s">
        <v>9</v>
      </c>
      <c r="M28" s="46"/>
      <c r="N28" s="21" t="s">
        <v>9</v>
      </c>
      <c r="O28" s="20"/>
      <c r="P28" s="28"/>
      <c r="Q28" s="29"/>
      <c r="R28" s="33" t="str">
        <f t="shared" si="0"/>
        <v/>
      </c>
    </row>
    <row r="29" spans="2:18" ht="21" customHeight="1" x14ac:dyDescent="0.45">
      <c r="B29" s="16">
        <f t="shared" si="3"/>
        <v>45828</v>
      </c>
      <c r="C29" s="14">
        <f t="shared" si="1"/>
        <v>45828</v>
      </c>
      <c r="D29" s="49"/>
      <c r="E29" s="50"/>
      <c r="F29" s="42"/>
      <c r="G29" s="49"/>
      <c r="H29" s="51"/>
      <c r="I29" s="51"/>
      <c r="J29" s="50"/>
      <c r="K29" s="19"/>
      <c r="L29" s="21" t="s">
        <v>9</v>
      </c>
      <c r="M29" s="46"/>
      <c r="N29" s="21" t="s">
        <v>9</v>
      </c>
      <c r="O29" s="20"/>
      <c r="P29" s="28"/>
      <c r="Q29" s="29"/>
      <c r="R29" s="33" t="str">
        <f t="shared" si="0"/>
        <v/>
      </c>
    </row>
    <row r="30" spans="2:18" ht="21" customHeight="1" x14ac:dyDescent="0.45">
      <c r="B30" s="16">
        <f t="shared" si="3"/>
        <v>45829</v>
      </c>
      <c r="C30" s="14">
        <f t="shared" si="1"/>
        <v>45829</v>
      </c>
      <c r="D30" s="49"/>
      <c r="E30" s="50"/>
      <c r="F30" s="42"/>
      <c r="G30" s="49"/>
      <c r="H30" s="51"/>
      <c r="I30" s="51"/>
      <c r="J30" s="50"/>
      <c r="K30" s="19"/>
      <c r="L30" s="21" t="s">
        <v>9</v>
      </c>
      <c r="M30" s="46"/>
      <c r="N30" s="21" t="s">
        <v>9</v>
      </c>
      <c r="O30" s="20"/>
      <c r="P30" s="28"/>
      <c r="Q30" s="29"/>
      <c r="R30" s="33" t="str">
        <f t="shared" si="0"/>
        <v/>
      </c>
    </row>
    <row r="31" spans="2:18" ht="21" customHeight="1" x14ac:dyDescent="0.45">
      <c r="B31" s="16">
        <f t="shared" si="3"/>
        <v>45830</v>
      </c>
      <c r="C31" s="14">
        <f t="shared" si="1"/>
        <v>45830</v>
      </c>
      <c r="D31" s="49"/>
      <c r="E31" s="50"/>
      <c r="F31" s="42"/>
      <c r="G31" s="49"/>
      <c r="H31" s="51"/>
      <c r="I31" s="51"/>
      <c r="J31" s="50"/>
      <c r="K31" s="19"/>
      <c r="L31" s="21" t="s">
        <v>9</v>
      </c>
      <c r="M31" s="46"/>
      <c r="N31" s="21" t="s">
        <v>9</v>
      </c>
      <c r="O31" s="20"/>
      <c r="P31" s="28"/>
      <c r="Q31" s="29"/>
      <c r="R31" s="33" t="str">
        <f t="shared" si="0"/>
        <v/>
      </c>
    </row>
    <row r="32" spans="2:18" ht="21" customHeight="1" x14ac:dyDescent="0.45">
      <c r="B32" s="16">
        <f t="shared" si="3"/>
        <v>45831</v>
      </c>
      <c r="C32" s="14">
        <f t="shared" si="1"/>
        <v>45831</v>
      </c>
      <c r="D32" s="49"/>
      <c r="E32" s="50"/>
      <c r="F32" s="42"/>
      <c r="G32" s="49"/>
      <c r="H32" s="51"/>
      <c r="I32" s="51"/>
      <c r="J32" s="50"/>
      <c r="K32" s="19"/>
      <c r="L32" s="21" t="s">
        <v>9</v>
      </c>
      <c r="M32" s="46"/>
      <c r="N32" s="21" t="s">
        <v>9</v>
      </c>
      <c r="O32" s="20"/>
      <c r="P32" s="28"/>
      <c r="Q32" s="29"/>
      <c r="R32" s="33" t="str">
        <f t="shared" si="0"/>
        <v/>
      </c>
    </row>
    <row r="33" spans="2:21" ht="21" customHeight="1" x14ac:dyDescent="0.45">
      <c r="B33" s="16">
        <f t="shared" si="3"/>
        <v>45832</v>
      </c>
      <c r="C33" s="14">
        <f t="shared" si="1"/>
        <v>45832</v>
      </c>
      <c r="D33" s="49"/>
      <c r="E33" s="50"/>
      <c r="F33" s="42"/>
      <c r="G33" s="49"/>
      <c r="H33" s="51"/>
      <c r="I33" s="51"/>
      <c r="J33" s="50"/>
      <c r="K33" s="19"/>
      <c r="L33" s="21" t="s">
        <v>9</v>
      </c>
      <c r="M33" s="46"/>
      <c r="N33" s="21" t="s">
        <v>9</v>
      </c>
      <c r="O33" s="20"/>
      <c r="P33" s="28"/>
      <c r="Q33" s="29"/>
      <c r="R33" s="33" t="str">
        <f t="shared" si="0"/>
        <v/>
      </c>
    </row>
    <row r="34" spans="2:21" ht="21" customHeight="1" x14ac:dyDescent="0.45">
      <c r="B34" s="16">
        <f t="shared" si="3"/>
        <v>45833</v>
      </c>
      <c r="C34" s="14">
        <f t="shared" si="1"/>
        <v>45833</v>
      </c>
      <c r="D34" s="49"/>
      <c r="E34" s="50"/>
      <c r="F34" s="42"/>
      <c r="G34" s="49"/>
      <c r="H34" s="51"/>
      <c r="I34" s="51"/>
      <c r="J34" s="50"/>
      <c r="K34" s="19"/>
      <c r="L34" s="21" t="s">
        <v>9</v>
      </c>
      <c r="M34" s="46"/>
      <c r="N34" s="21" t="s">
        <v>9</v>
      </c>
      <c r="O34" s="20"/>
      <c r="P34" s="28"/>
      <c r="Q34" s="29"/>
      <c r="R34" s="33" t="str">
        <f t="shared" si="0"/>
        <v/>
      </c>
    </row>
    <row r="35" spans="2:21" ht="21" customHeight="1" x14ac:dyDescent="0.45">
      <c r="B35" s="16">
        <f t="shared" si="3"/>
        <v>45834</v>
      </c>
      <c r="C35" s="14">
        <f t="shared" si="1"/>
        <v>45834</v>
      </c>
      <c r="D35" s="49"/>
      <c r="E35" s="50"/>
      <c r="F35" s="42"/>
      <c r="G35" s="49"/>
      <c r="H35" s="51"/>
      <c r="I35" s="51"/>
      <c r="J35" s="50"/>
      <c r="K35" s="19"/>
      <c r="L35" s="21" t="s">
        <v>9</v>
      </c>
      <c r="M35" s="46"/>
      <c r="N35" s="21" t="s">
        <v>9</v>
      </c>
      <c r="O35" s="20"/>
      <c r="P35" s="28"/>
      <c r="Q35" s="29"/>
      <c r="R35" s="33" t="str">
        <f t="shared" si="0"/>
        <v/>
      </c>
    </row>
    <row r="36" spans="2:21" ht="21" customHeight="1" x14ac:dyDescent="0.45">
      <c r="B36" s="16">
        <f t="shared" si="3"/>
        <v>45835</v>
      </c>
      <c r="C36" s="14">
        <f t="shared" si="1"/>
        <v>45835</v>
      </c>
      <c r="D36" s="49"/>
      <c r="E36" s="50"/>
      <c r="F36" s="42"/>
      <c r="G36" s="49"/>
      <c r="H36" s="51"/>
      <c r="I36" s="51"/>
      <c r="J36" s="50"/>
      <c r="K36" s="19"/>
      <c r="L36" s="21" t="s">
        <v>9</v>
      </c>
      <c r="M36" s="46"/>
      <c r="N36" s="21" t="s">
        <v>9</v>
      </c>
      <c r="O36" s="20"/>
      <c r="P36" s="28"/>
      <c r="Q36" s="29"/>
      <c r="R36" s="33" t="str">
        <f t="shared" si="0"/>
        <v/>
      </c>
    </row>
    <row r="37" spans="2:21" ht="21" customHeight="1" x14ac:dyDescent="0.45">
      <c r="B37" s="16">
        <f t="shared" si="3"/>
        <v>45836</v>
      </c>
      <c r="C37" s="14">
        <f t="shared" si="1"/>
        <v>45836</v>
      </c>
      <c r="D37" s="49"/>
      <c r="E37" s="50"/>
      <c r="F37" s="42"/>
      <c r="G37" s="49"/>
      <c r="H37" s="51"/>
      <c r="I37" s="51"/>
      <c r="J37" s="50"/>
      <c r="K37" s="19"/>
      <c r="L37" s="21" t="s">
        <v>9</v>
      </c>
      <c r="M37" s="46"/>
      <c r="N37" s="21" t="s">
        <v>9</v>
      </c>
      <c r="O37" s="20"/>
      <c r="P37" s="28"/>
      <c r="Q37" s="29"/>
      <c r="R37" s="33" t="str">
        <f t="shared" si="0"/>
        <v/>
      </c>
    </row>
    <row r="38" spans="2:21" ht="21" customHeight="1" x14ac:dyDescent="0.45">
      <c r="B38" s="16">
        <f t="shared" si="3"/>
        <v>45837</v>
      </c>
      <c r="C38" s="14">
        <f t="shared" si="1"/>
        <v>45837</v>
      </c>
      <c r="D38" s="49"/>
      <c r="E38" s="50"/>
      <c r="F38" s="42"/>
      <c r="G38" s="49"/>
      <c r="H38" s="51"/>
      <c r="I38" s="51"/>
      <c r="J38" s="50"/>
      <c r="K38" s="19"/>
      <c r="L38" s="21" t="s">
        <v>9</v>
      </c>
      <c r="M38" s="46"/>
      <c r="N38" s="21" t="s">
        <v>9</v>
      </c>
      <c r="O38" s="20"/>
      <c r="P38" s="28"/>
      <c r="Q38" s="29"/>
      <c r="R38" s="33" t="str">
        <f t="shared" si="0"/>
        <v/>
      </c>
    </row>
    <row r="39" spans="2:21" ht="21" customHeight="1" x14ac:dyDescent="0.45">
      <c r="B39" s="16">
        <f t="shared" si="3"/>
        <v>45838</v>
      </c>
      <c r="C39" s="14">
        <f t="shared" si="1"/>
        <v>45838</v>
      </c>
      <c r="D39" s="49"/>
      <c r="E39" s="50"/>
      <c r="F39" s="42"/>
      <c r="G39" s="49"/>
      <c r="H39" s="51"/>
      <c r="I39" s="51"/>
      <c r="J39" s="50"/>
      <c r="K39" s="19"/>
      <c r="L39" s="21" t="s">
        <v>9</v>
      </c>
      <c r="M39" s="46"/>
      <c r="N39" s="21" t="s">
        <v>9</v>
      </c>
      <c r="O39" s="20"/>
      <c r="P39" s="28"/>
      <c r="Q39" s="29"/>
      <c r="R39" s="33" t="str">
        <f t="shared" si="0"/>
        <v/>
      </c>
    </row>
    <row r="40" spans="2:21" ht="21" customHeight="1" thickBot="1" x14ac:dyDescent="0.5">
      <c r="B40" s="17" t="str">
        <f t="shared" si="3"/>
        <v/>
      </c>
      <c r="C40" s="15" t="str">
        <f t="shared" si="1"/>
        <v/>
      </c>
      <c r="D40" s="52"/>
      <c r="E40" s="53"/>
      <c r="F40" s="43"/>
      <c r="G40" s="52"/>
      <c r="H40" s="54"/>
      <c r="I40" s="54"/>
      <c r="J40" s="53"/>
      <c r="K40" s="25"/>
      <c r="L40" s="22" t="s">
        <v>9</v>
      </c>
      <c r="M40" s="39"/>
      <c r="N40" s="22" t="s">
        <v>9</v>
      </c>
      <c r="O40" s="26"/>
      <c r="P40" s="31"/>
      <c r="Q40" s="30"/>
      <c r="R40" s="34" t="str">
        <f t="shared" si="0"/>
        <v/>
      </c>
    </row>
    <row r="41" spans="2:21" ht="6.75" customHeight="1" x14ac:dyDescent="0.45">
      <c r="Q41" s="23"/>
      <c r="R41" s="23"/>
    </row>
    <row r="42" spans="2:21" x14ac:dyDescent="0.45">
      <c r="Q42" s="40"/>
      <c r="R42" s="40"/>
      <c r="T42" s="18"/>
      <c r="U42" s="18"/>
    </row>
    <row r="43" spans="2:21" ht="24.75" customHeight="1" x14ac:dyDescent="0.45">
      <c r="Q43" s="41"/>
      <c r="R43" s="41"/>
    </row>
    <row r="44" spans="2:21" ht="24.75" customHeight="1" x14ac:dyDescent="0.45">
      <c r="Q44" s="41"/>
      <c r="R44" s="41"/>
    </row>
    <row r="45" spans="2:21" ht="9.75" customHeight="1" x14ac:dyDescent="0.45"/>
  </sheetData>
  <mergeCells count="71">
    <mergeCell ref="D39:E39"/>
    <mergeCell ref="G39:J39"/>
    <mergeCell ref="D40:E40"/>
    <mergeCell ref="G40:J40"/>
    <mergeCell ref="D36:E36"/>
    <mergeCell ref="G36:J36"/>
    <mergeCell ref="D37:E37"/>
    <mergeCell ref="G37:J37"/>
    <mergeCell ref="D38:E38"/>
    <mergeCell ref="G38:J38"/>
    <mergeCell ref="D33:E33"/>
    <mergeCell ref="G33:J33"/>
    <mergeCell ref="D34:E34"/>
    <mergeCell ref="G34:J34"/>
    <mergeCell ref="D35:E35"/>
    <mergeCell ref="G35:J35"/>
    <mergeCell ref="D30:E30"/>
    <mergeCell ref="G30:J30"/>
    <mergeCell ref="D31:E31"/>
    <mergeCell ref="G31:J31"/>
    <mergeCell ref="D32:E32"/>
    <mergeCell ref="G32:J32"/>
    <mergeCell ref="D27:E27"/>
    <mergeCell ref="G27:J27"/>
    <mergeCell ref="D28:E28"/>
    <mergeCell ref="G28:J28"/>
    <mergeCell ref="D29:E29"/>
    <mergeCell ref="G29:J29"/>
    <mergeCell ref="D24:E24"/>
    <mergeCell ref="G24:J24"/>
    <mergeCell ref="D25:E25"/>
    <mergeCell ref="G25:J25"/>
    <mergeCell ref="D26:E26"/>
    <mergeCell ref="G26:J26"/>
    <mergeCell ref="D21:E21"/>
    <mergeCell ref="G21:J21"/>
    <mergeCell ref="D22:E22"/>
    <mergeCell ref="G22:J22"/>
    <mergeCell ref="D23:E23"/>
    <mergeCell ref="G23:J23"/>
    <mergeCell ref="D18:E18"/>
    <mergeCell ref="G18:J18"/>
    <mergeCell ref="D19:E19"/>
    <mergeCell ref="G19:J19"/>
    <mergeCell ref="D20:E20"/>
    <mergeCell ref="G20:J20"/>
    <mergeCell ref="D15:E15"/>
    <mergeCell ref="G15:J15"/>
    <mergeCell ref="D16:E16"/>
    <mergeCell ref="G16:J16"/>
    <mergeCell ref="D17:E17"/>
    <mergeCell ref="G17:J17"/>
    <mergeCell ref="D12:E12"/>
    <mergeCell ref="G12:J12"/>
    <mergeCell ref="D13:E13"/>
    <mergeCell ref="G13:J13"/>
    <mergeCell ref="D14:E14"/>
    <mergeCell ref="G14:J14"/>
    <mergeCell ref="D9:E9"/>
    <mergeCell ref="G9:J9"/>
    <mergeCell ref="D10:E10"/>
    <mergeCell ref="G10:J10"/>
    <mergeCell ref="D11:E11"/>
    <mergeCell ref="G11:J11"/>
    <mergeCell ref="B6:D6"/>
    <mergeCell ref="E6:H6"/>
    <mergeCell ref="P1:R1"/>
    <mergeCell ref="G3:I3"/>
    <mergeCell ref="G4:I4"/>
    <mergeCell ref="J4:R4"/>
    <mergeCell ref="J3:R3"/>
  </mergeCells>
  <phoneticPr fontId="3"/>
  <printOptions horizontalCentered="1"/>
  <pageMargins left="0" right="0" top="0" bottom="0" header="0" footer="0"/>
  <pageSetup paperSize="9" scale="5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37AFE4-64E1-48A9-8035-744C63D39AC3}">
          <x14:formula1>
            <xm:f>ドロップダウンリスト!$B$3:$B$7</xm:f>
          </x14:formula1>
          <xm:sqref>D10:E40</xm:sqref>
        </x14:dataValidation>
        <x14:dataValidation type="list" allowBlank="1" showInputMessage="1" showErrorMessage="1" xr:uid="{E1E18280-51D2-4318-BAEE-34964A06B345}">
          <x14:formula1>
            <xm:f>ドロップダウンリスト!$A$3:$A$4</xm:f>
          </x14:formula1>
          <xm:sqref>P10:P40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0427-D588-4EDB-8CAA-9A30ECF59DE4}">
  <dimension ref="A2:B7"/>
  <sheetViews>
    <sheetView workbookViewId="0">
      <selection activeCell="C6" sqref="C6"/>
    </sheetView>
  </sheetViews>
  <sheetFormatPr defaultRowHeight="18" x14ac:dyDescent="0.45"/>
  <cols>
    <col min="1" max="1" width="9.5" bestFit="1" customWidth="1"/>
    <col min="2" max="2" width="14.3984375" bestFit="1" customWidth="1"/>
  </cols>
  <sheetData>
    <row r="2" spans="1:2" x14ac:dyDescent="0.45">
      <c r="A2" s="27" t="s">
        <v>17</v>
      </c>
      <c r="B2" s="27" t="s">
        <v>31</v>
      </c>
    </row>
    <row r="3" spans="1:2" x14ac:dyDescent="0.45">
      <c r="A3" s="27" t="s">
        <v>21</v>
      </c>
      <c r="B3" s="27" t="s">
        <v>23</v>
      </c>
    </row>
    <row r="4" spans="1:2" x14ac:dyDescent="0.45">
      <c r="A4" s="27" t="s">
        <v>18</v>
      </c>
      <c r="B4" s="27" t="s">
        <v>24</v>
      </c>
    </row>
    <row r="5" spans="1:2" x14ac:dyDescent="0.45">
      <c r="A5" s="27"/>
      <c r="B5" s="44" t="s">
        <v>30</v>
      </c>
    </row>
    <row r="6" spans="1:2" x14ac:dyDescent="0.45">
      <c r="A6" s="27"/>
      <c r="B6" s="48" t="s">
        <v>40</v>
      </c>
    </row>
    <row r="7" spans="1:2" x14ac:dyDescent="0.45">
      <c r="A7" s="27"/>
      <c r="B7" s="48" t="s">
        <v>41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電車通勤費報告書【原本】</vt:lpstr>
      <vt:lpstr>電車通勤費報告書【記入例2025.5】 </vt:lpstr>
      <vt:lpstr>ドロップダウンリスト</vt:lpstr>
      <vt:lpstr>'電車通勤費報告書【記入例2025.5】 '!Print_Area</vt:lpstr>
      <vt:lpstr>電車通勤費報告書【原本】!Print_Area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kaori</dc:creator>
  <cp:lastModifiedBy>小野　レミ</cp:lastModifiedBy>
  <cp:lastPrinted>2025-06-20T05:07:56Z</cp:lastPrinted>
  <dcterms:created xsi:type="dcterms:W3CDTF">2019-08-01T01:34:12Z</dcterms:created>
  <dcterms:modified xsi:type="dcterms:W3CDTF">2025-07-01T07:25:11Z</dcterms:modified>
</cp:coreProperties>
</file>
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LS520DCD5\soumu_keiri_jinji\01.総務\09.各種テンプレート＆マニュアル\01.マニュアル\出張・経費精算書\"/>
    </mc:Choice>
  </mc:AlternateContent>
  <xr:revisionPtr revIDLastSave="0" documentId="13_ncr:1_{CB48A112-31B2-4F58-9826-456CFCD8493B}" xr6:coauthVersionLast="47" xr6:coauthVersionMax="47" xr10:uidLastSave="{00000000-0000-0000-0000-000000000000}"/>
  <bookViews>
    <workbookView xWindow="28680" yWindow="-120" windowWidth="29040" windowHeight="15720" xr2:uid="{0897E4C5-E654-46CC-8B89-4E7F60383529}"/>
  </bookViews>
  <sheets>
    <sheet name="【見本】使用報告書" sheetId="1" r:id="rId1"/>
    <sheet name="【原本】使用報告書" sheetId="3" r:id="rId2"/>
    <sheet name="拠点一覧" sheetId="2" r:id="rId3"/>
  </sheets>
  <definedNames>
    <definedName name="_xlnm.Print_Area" localSheetId="0">【見本】使用報告書!$A$1:$H$43</definedName>
    <definedName name="_xlnm.Print_Area" localSheetId="1">【原本】使用報告書!$A$1:$H$43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H26" i="1" s="1"/>
  <c r="F43" i="3"/>
  <c r="H43" i="3" s="1"/>
  <c r="F42" i="3"/>
  <c r="H42" i="3" s="1"/>
  <c r="F41" i="3"/>
  <c r="H41" i="3" s="1"/>
  <c r="F40" i="3"/>
  <c r="H40" i="3" s="1"/>
  <c r="F39" i="3"/>
  <c r="H39" i="3" s="1"/>
  <c r="F38" i="3"/>
  <c r="H38" i="3" s="1"/>
  <c r="F37" i="3"/>
  <c r="H37" i="3" s="1"/>
  <c r="F36" i="3"/>
  <c r="H36" i="3" s="1"/>
  <c r="F35" i="3"/>
  <c r="H35" i="3" s="1"/>
  <c r="F34" i="3"/>
  <c r="H34" i="3" s="1"/>
  <c r="F33" i="3"/>
  <c r="H33" i="3" s="1"/>
  <c r="F32" i="3"/>
  <c r="H32" i="3" s="1"/>
  <c r="F31" i="3"/>
  <c r="H31" i="3" s="1"/>
  <c r="F30" i="3"/>
  <c r="H30" i="3" s="1"/>
  <c r="F29" i="3"/>
  <c r="H29" i="3" s="1"/>
  <c r="F28" i="3"/>
  <c r="H28" i="3" s="1"/>
  <c r="F27" i="3"/>
  <c r="H27" i="3" s="1"/>
  <c r="F26" i="3"/>
  <c r="H26" i="3" s="1"/>
  <c r="F25" i="3"/>
  <c r="H25" i="3" s="1"/>
  <c r="F24" i="3"/>
  <c r="H24" i="3" s="1"/>
  <c r="F23" i="3"/>
  <c r="H23" i="3" s="1"/>
  <c r="F22" i="3"/>
  <c r="H22" i="3" s="1"/>
  <c r="F21" i="3"/>
  <c r="H21" i="3" s="1"/>
  <c r="F20" i="3"/>
  <c r="H20" i="3" s="1"/>
  <c r="F19" i="3"/>
  <c r="H19" i="3" s="1"/>
  <c r="F18" i="3"/>
  <c r="H18" i="3" s="1"/>
  <c r="F17" i="3"/>
  <c r="H17" i="3" s="1"/>
  <c r="F16" i="3"/>
  <c r="H16" i="3" s="1"/>
  <c r="F15" i="3"/>
  <c r="H15" i="3" s="1"/>
  <c r="F14" i="3"/>
  <c r="H14" i="3" s="1"/>
  <c r="F13" i="3"/>
  <c r="H13" i="3" s="1"/>
  <c r="B13" i="3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C10" i="3"/>
  <c r="C10" i="1"/>
  <c r="F10" i="3" l="1"/>
  <c r="F18" i="1"/>
  <c r="F19" i="1"/>
  <c r="F20" i="1"/>
  <c r="F21" i="1"/>
  <c r="H21" i="1" s="1"/>
  <c r="F22" i="1"/>
  <c r="H22" i="1" s="1"/>
  <c r="F23" i="1"/>
  <c r="H23" i="1" s="1"/>
  <c r="F30" i="1"/>
  <c r="F31" i="1"/>
  <c r="H31" i="1" s="1"/>
  <c r="F32" i="1"/>
  <c r="H32" i="1" s="1"/>
  <c r="F33" i="1"/>
  <c r="F34" i="1"/>
  <c r="H34" i="1" s="1"/>
  <c r="F35" i="1"/>
  <c r="F42" i="1"/>
  <c r="F43" i="1"/>
  <c r="F13" i="1"/>
  <c r="H13" i="1" s="1"/>
  <c r="F15" i="1"/>
  <c r="F16" i="1"/>
  <c r="F17" i="1"/>
  <c r="F24" i="1"/>
  <c r="H24" i="1" s="1"/>
  <c r="F25" i="1"/>
  <c r="F27" i="1"/>
  <c r="H27" i="1" s="1"/>
  <c r="F28" i="1"/>
  <c r="H28" i="1" s="1"/>
  <c r="F29" i="1"/>
  <c r="F36" i="1"/>
  <c r="F37" i="1"/>
  <c r="F38" i="1"/>
  <c r="F39" i="1"/>
  <c r="H39" i="1" s="1"/>
  <c r="F40" i="1"/>
  <c r="H40" i="1" s="1"/>
  <c r="F41" i="1"/>
  <c r="F14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F10" i="1" l="1"/>
  <c r="H37" i="1"/>
  <c r="H36" i="1"/>
  <c r="H35" i="1"/>
  <c r="H33" i="1"/>
  <c r="H25" i="1"/>
  <c r="H38" i="1"/>
  <c r="H20" i="1"/>
  <c r="H19" i="1"/>
  <c r="H43" i="1"/>
  <c r="H42" i="1"/>
  <c r="H30" i="1"/>
  <c r="H18" i="1"/>
  <c r="H41" i="1"/>
  <c r="H29" i="1"/>
  <c r="H17" i="1"/>
  <c r="H16" i="1"/>
  <c r="H15" i="1"/>
  <c r="H14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sharedStrings.xml><?xml version="1.0" encoding="utf-8"?>
<sst xmlns="http://schemas.openxmlformats.org/spreadsheetml/2006/main" count="120" uniqueCount="34">
  <si>
    <t>給油カード使用報告書</t>
    <rPh sb="0" eb="2">
      <t>キュウユ</t>
    </rPh>
    <rPh sb="5" eb="10">
      <t>シヨウホウコクショ</t>
    </rPh>
    <phoneticPr fontId="1"/>
  </si>
  <si>
    <t>年度</t>
    <rPh sb="0" eb="2">
      <t>ネンド</t>
    </rPh>
    <phoneticPr fontId="1"/>
  </si>
  <si>
    <t>月</t>
    <rPh sb="0" eb="1">
      <t>ツキ</t>
    </rPh>
    <phoneticPr fontId="1"/>
  </si>
  <si>
    <t>開始日</t>
    <rPh sb="0" eb="3">
      <t>カイシビ</t>
    </rPh>
    <phoneticPr fontId="1"/>
  </si>
  <si>
    <t>～</t>
    <phoneticPr fontId="1"/>
  </si>
  <si>
    <t>締め日</t>
    <rPh sb="0" eb="1">
      <t>シ</t>
    </rPh>
    <rPh sb="2" eb="3">
      <t>ビ</t>
    </rPh>
    <phoneticPr fontId="1"/>
  </si>
  <si>
    <t>氏名</t>
    <rPh sb="0" eb="2">
      <t>シメイ</t>
    </rPh>
    <phoneticPr fontId="1"/>
  </si>
  <si>
    <t>拠点</t>
    <rPh sb="0" eb="2">
      <t>キョテン</t>
    </rPh>
    <phoneticPr fontId="1"/>
  </si>
  <si>
    <t>月間走行距離</t>
    <rPh sb="0" eb="2">
      <t>ゲッカン</t>
    </rPh>
    <rPh sb="2" eb="6">
      <t>ソウコウキョリ</t>
    </rPh>
    <phoneticPr fontId="1"/>
  </si>
  <si>
    <t>給油回数</t>
    <rPh sb="0" eb="2">
      <t>キュウユ</t>
    </rPh>
    <rPh sb="2" eb="4">
      <t>カイスウ</t>
    </rPh>
    <phoneticPr fontId="1"/>
  </si>
  <si>
    <t>日付</t>
    <rPh sb="0" eb="2">
      <t>ヒヅケ</t>
    </rPh>
    <phoneticPr fontId="1"/>
  </si>
  <si>
    <t>曜日</t>
    <rPh sb="0" eb="2">
      <t>ヨウビ</t>
    </rPh>
    <phoneticPr fontId="1"/>
  </si>
  <si>
    <t>給油時走行距離</t>
    <rPh sb="0" eb="3">
      <t>キュウユジ</t>
    </rPh>
    <rPh sb="3" eb="5">
      <t>ソウコウ</t>
    </rPh>
    <rPh sb="5" eb="7">
      <t>キョリ</t>
    </rPh>
    <phoneticPr fontId="1"/>
  </si>
  <si>
    <t>給油量</t>
    <rPh sb="0" eb="2">
      <t>キュウユ</t>
    </rPh>
    <rPh sb="2" eb="3">
      <t>リョウ</t>
    </rPh>
    <phoneticPr fontId="1"/>
  </si>
  <si>
    <t>走行距離</t>
    <rPh sb="0" eb="4">
      <t>ソウコウキョリ</t>
    </rPh>
    <phoneticPr fontId="1"/>
  </si>
  <si>
    <t>燃費（km/L）</t>
    <rPh sb="0" eb="2">
      <t>ネンピ</t>
    </rPh>
    <phoneticPr fontId="1"/>
  </si>
  <si>
    <t>グリーンの網かけ部分を入力</t>
    <phoneticPr fontId="1"/>
  </si>
  <si>
    <t>回</t>
    <rPh sb="0" eb="1">
      <t>カイ</t>
    </rPh>
    <phoneticPr fontId="1"/>
  </si>
  <si>
    <t>車番</t>
    <rPh sb="0" eb="2">
      <t>シャバン</t>
    </rPh>
    <phoneticPr fontId="1"/>
  </si>
  <si>
    <t>拠点一覧</t>
    <rPh sb="0" eb="2">
      <t>キョテン</t>
    </rPh>
    <rPh sb="2" eb="4">
      <t>イチラン</t>
    </rPh>
    <phoneticPr fontId="1"/>
  </si>
  <si>
    <t>東日本チーム（飼料）</t>
    <rPh sb="0" eb="3">
      <t>ヒガシニホン</t>
    </rPh>
    <rPh sb="7" eb="9">
      <t>シリョウ</t>
    </rPh>
    <phoneticPr fontId="1"/>
  </si>
  <si>
    <t>東日本チーム（LAT)</t>
    <rPh sb="0" eb="3">
      <t>ヒガシニホン</t>
    </rPh>
    <phoneticPr fontId="1"/>
  </si>
  <si>
    <t>西日本チーム（飼料）</t>
    <rPh sb="0" eb="3">
      <t>ニシニホン</t>
    </rPh>
    <rPh sb="7" eb="9">
      <t>シリョウ</t>
    </rPh>
    <phoneticPr fontId="1"/>
  </si>
  <si>
    <t>西日本チーム（LAT）</t>
    <rPh sb="0" eb="3">
      <t>ニシニホン</t>
    </rPh>
    <phoneticPr fontId="1"/>
  </si>
  <si>
    <t>青森黒石工場</t>
    <rPh sb="0" eb="2">
      <t>アオモリ</t>
    </rPh>
    <rPh sb="2" eb="4">
      <t>クロイシ</t>
    </rPh>
    <rPh sb="4" eb="6">
      <t>コウジョウ</t>
    </rPh>
    <phoneticPr fontId="1"/>
  </si>
  <si>
    <t>熊本南関工場</t>
    <rPh sb="0" eb="2">
      <t>クマモト</t>
    </rPh>
    <rPh sb="2" eb="6">
      <t>ナンカンコウジョウ</t>
    </rPh>
    <phoneticPr fontId="1"/>
  </si>
  <si>
    <t>管理部門</t>
    <rPh sb="0" eb="4">
      <t>カンリブモン</t>
    </rPh>
    <phoneticPr fontId="1"/>
  </si>
  <si>
    <t>小野　レミ</t>
    <rPh sb="0" eb="2">
      <t>オノ</t>
    </rPh>
    <phoneticPr fontId="1"/>
  </si>
  <si>
    <r>
      <rPr>
        <b/>
        <sz val="12"/>
        <color rgb="FF0070C0"/>
        <rFont val="游ゴシック"/>
        <family val="3"/>
        <charset val="128"/>
        <scheme val="minor"/>
      </rPr>
      <t>前回</t>
    </r>
    <r>
      <rPr>
        <sz val="12"/>
        <color theme="1"/>
        <rFont val="游ゴシック"/>
        <family val="3"/>
        <charset val="128"/>
        <scheme val="minor"/>
      </rPr>
      <t>給油時走行距離</t>
    </r>
    <rPh sb="0" eb="2">
      <t>ゼンカイ</t>
    </rPh>
    <rPh sb="2" eb="5">
      <t>キュウユジ</t>
    </rPh>
    <rPh sb="5" eb="9">
      <t>ソウコウキョリ</t>
    </rPh>
    <phoneticPr fontId="1"/>
  </si>
  <si>
    <r>
      <t>給油カード使用報告書</t>
    </r>
    <r>
      <rPr>
        <b/>
        <sz val="16"/>
        <color rgb="FFFF0000"/>
        <rFont val="游ゴシック"/>
        <family val="3"/>
        <charset val="128"/>
        <scheme val="minor"/>
      </rPr>
      <t>（見本）</t>
    </r>
    <rPh sb="0" eb="2">
      <t>キュウユ</t>
    </rPh>
    <rPh sb="5" eb="10">
      <t>シヨウホウコクショ</t>
    </rPh>
    <rPh sb="11" eb="13">
      <t>ミホン</t>
    </rPh>
    <phoneticPr fontId="1"/>
  </si>
  <si>
    <t>車両番号</t>
    <rPh sb="0" eb="2">
      <t>シャリョウ</t>
    </rPh>
    <rPh sb="2" eb="4">
      <t>バンゴウ</t>
    </rPh>
    <phoneticPr fontId="1"/>
  </si>
  <si>
    <r>
      <t>給油カードを利用した際は、</t>
    </r>
    <r>
      <rPr>
        <b/>
        <sz val="12"/>
        <color rgb="FFFF0000"/>
        <rFont val="游ゴシック"/>
        <family val="3"/>
        <charset val="128"/>
        <scheme val="minor"/>
      </rPr>
      <t>経費精算は不要</t>
    </r>
    <r>
      <rPr>
        <sz val="12"/>
        <color theme="1"/>
        <rFont val="游ゴシック"/>
        <family val="3"/>
        <charset val="128"/>
        <scheme val="minor"/>
      </rPr>
      <t>となりガソリンスタンドから</t>
    </r>
    <r>
      <rPr>
        <b/>
        <sz val="12"/>
        <color rgb="FFFF0000"/>
        <rFont val="游ゴシック"/>
        <family val="3"/>
        <charset val="128"/>
        <scheme val="minor"/>
      </rPr>
      <t>発行される納品書（領収書）は廃棄</t>
    </r>
    <r>
      <rPr>
        <sz val="12"/>
        <color theme="1"/>
        <rFont val="游ゴシック"/>
        <family val="3"/>
        <charset val="128"/>
        <scheme val="minor"/>
      </rPr>
      <t>してください。</t>
    </r>
    <rPh sb="0" eb="2">
      <t>キュウユ</t>
    </rPh>
    <rPh sb="6" eb="8">
      <t>リヨウ</t>
    </rPh>
    <rPh sb="10" eb="11">
      <t>サイ</t>
    </rPh>
    <rPh sb="13" eb="17">
      <t>ケイヒセイサン</t>
    </rPh>
    <rPh sb="18" eb="20">
      <t>フヨウ</t>
    </rPh>
    <rPh sb="33" eb="35">
      <t>ハッコウ</t>
    </rPh>
    <rPh sb="38" eb="41">
      <t>ノウヒンショ</t>
    </rPh>
    <rPh sb="42" eb="45">
      <t>リョウシュウショ</t>
    </rPh>
    <rPh sb="47" eb="49">
      <t>ハイキ</t>
    </rPh>
    <phoneticPr fontId="1"/>
  </si>
  <si>
    <r>
      <t>給油カードを使用した際に入力し</t>
    </r>
    <r>
      <rPr>
        <b/>
        <sz val="12"/>
        <color rgb="FFFF0000"/>
        <rFont val="游ゴシック"/>
        <family val="3"/>
        <charset val="128"/>
        <scheme val="minor"/>
      </rPr>
      <t>毎月月末に</t>
    </r>
    <r>
      <rPr>
        <sz val="12"/>
        <color theme="1"/>
        <rFont val="游ゴシック"/>
        <family val="3"/>
        <charset val="128"/>
        <scheme val="minor"/>
      </rPr>
      <t>希さんと小野宛にメール送付をお願いいたします。</t>
    </r>
    <rPh sb="0" eb="2">
      <t>キュウユ</t>
    </rPh>
    <rPh sb="6" eb="8">
      <t>シヨウ</t>
    </rPh>
    <rPh sb="10" eb="11">
      <t>サイ</t>
    </rPh>
    <rPh sb="12" eb="14">
      <t>ニュウリョク</t>
    </rPh>
    <rPh sb="20" eb="21">
      <t>ノゾミ</t>
    </rPh>
    <rPh sb="24" eb="26">
      <t>オノ</t>
    </rPh>
    <rPh sb="26" eb="27">
      <t>アテ</t>
    </rPh>
    <rPh sb="31" eb="33">
      <t>ソウフ</t>
    </rPh>
    <rPh sb="35" eb="36">
      <t>ネガ</t>
    </rPh>
    <phoneticPr fontId="1"/>
  </si>
  <si>
    <t>請求書の内容確認作業にて活用いたします。</t>
    <rPh sb="0" eb="3">
      <t>セイキュウショ</t>
    </rPh>
    <rPh sb="4" eb="6">
      <t>ナイヨウ</t>
    </rPh>
    <rPh sb="6" eb="8">
      <t>カクニン</t>
    </rPh>
    <rPh sb="8" eb="10">
      <t>サギョウ</t>
    </rPh>
    <rPh sb="12" eb="14">
      <t>カツヨウ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</si>
</sst>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&quot;日&quot;"/>
    <numFmt numFmtId="177" formatCode="\(aaa\)"/>
    <numFmt numFmtId="178" formatCode="#,##0&quot;km&quot;"/>
    <numFmt numFmtId="179" formatCode="#,##0.00&quot;L&quot;"/>
    <numFmt numFmtId="180" formatCode="##0.00&quot;km/L&quot;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2"/>
      <color rgb="FF0070C0"/>
      <name val="游ゴシック"/>
      <family val="3"/>
      <charset val="128"/>
      <scheme val="minor"/>
    </font>
    <font>
      <b/>
      <sz val="16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0" fillId="0" borderId="12" xfId="0" applyBorder="1" applyAlignment="1">
      <alignment horizontal="center" vertical="center"/>
    </xf>
    <xf numFmtId="176" fontId="0" fillId="0" borderId="18" xfId="0" applyNumberFormat="1" applyFill="1" applyBorder="1" applyAlignment="1">
      <alignment horizontal="center" vertical="center"/>
    </xf>
    <xf numFmtId="177" fontId="0" fillId="0" borderId="19" xfId="0" applyNumberFormat="1" applyFill="1" applyBorder="1" applyAlignment="1">
      <alignment horizontal="center" vertical="center"/>
    </xf>
    <xf numFmtId="178" fontId="0" fillId="0" borderId="19" xfId="0" applyNumberFormat="1" applyFill="1" applyBorder="1">
      <alignment vertical="center"/>
    </xf>
    <xf numFmtId="179" fontId="0" fillId="2" borderId="19" xfId="0" applyNumberFormat="1" applyFill="1" applyBorder="1">
      <alignment vertical="center"/>
    </xf>
    <xf numFmtId="176" fontId="0" fillId="0" borderId="4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8" fontId="0" fillId="0" borderId="5" xfId="0" applyNumberFormat="1" applyFill="1" applyBorder="1">
      <alignment vertical="center"/>
    </xf>
    <xf numFmtId="179" fontId="0" fillId="2" borderId="5" xfId="0" applyNumberFormat="1" applyFill="1" applyBorder="1">
      <alignment vertical="center"/>
    </xf>
    <xf numFmtId="178" fontId="0" fillId="2" borderId="21" xfId="0" applyNumberFormat="1" applyFill="1" applyBorder="1">
      <alignment vertical="center"/>
    </xf>
    <xf numFmtId="178" fontId="0" fillId="2" borderId="9" xfId="0" applyNumberFormat="1" applyFill="1" applyBorder="1">
      <alignment vertical="center"/>
    </xf>
    <xf numFmtId="178" fontId="0" fillId="2" borderId="22" xfId="0" applyNumberFormat="1" applyFill="1" applyBorder="1">
      <alignment vertical="center"/>
    </xf>
    <xf numFmtId="178" fontId="0" fillId="2" borderId="10" xfId="0" applyNumberFormat="1" applyFill="1" applyBorder="1">
      <alignment vertical="center"/>
    </xf>
    <xf numFmtId="0" fontId="0" fillId="0" borderId="23" xfId="0" applyBorder="1" applyAlignment="1">
      <alignment horizontal="center" vertical="center"/>
    </xf>
    <xf numFmtId="180" fontId="0" fillId="0" borderId="20" xfId="0" applyNumberFormat="1" applyFill="1" applyBorder="1">
      <alignment vertical="center"/>
    </xf>
    <xf numFmtId="180" fontId="0" fillId="0" borderId="6" xfId="0" applyNumberFormat="1" applyFill="1" applyBorder="1">
      <alignment vertical="center"/>
    </xf>
    <xf numFmtId="0" fontId="0" fillId="0" borderId="19" xfId="0" applyBorder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55" fontId="5" fillId="3" borderId="2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vertical="center"/>
    </xf>
    <xf numFmtId="0" fontId="5" fillId="0" borderId="0" xfId="0" applyFo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78" fontId="5" fillId="0" borderId="17" xfId="0" applyNumberFormat="1" applyFont="1" applyBorder="1" applyAlignment="1">
      <alignment vertical="center"/>
    </xf>
    <xf numFmtId="178" fontId="5" fillId="3" borderId="16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標準" xfId="0" builtinId="0"/>
  </cellStyles>
  <dxfs count="6">
    <dxf>
      <font>
        <color theme="0"/>
      </font>
    </dxf>
    <dxf>
      <font>
        <color theme="0"/>
      </font>
    </dxf>
    <dxf>
      <font>
        <color theme="9" tint="0.79998168889431442"/>
      </font>
    </dxf>
    <dxf>
      <font>
        <color theme="0"/>
      </font>
    </dxf>
    <dxf>
      <font>
        <color theme="0"/>
      </font>
    </dxf>
    <dxf>
      <font>
        <color theme="9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171451</xdr:colOff>
      <xdr:row>27</xdr:row>
      <xdr:rowOff>114300</xdr:rowOff>
    </xdr:from>
    <xdr:to>
      <xdr:col>9</xdr:col>
      <xdr:colOff>34291</xdr:colOff>
      <xdr:row>30</xdr:row>
      <xdr:rowOff>95250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62FB4364-B128-BFA2-D5F6-325C94A5F6FB}"/>
            </a:ext>
          </a:extLst>
        </xdr:cNvPr>
        <xdr:cNvSpPr/>
      </xdr:nvSpPr>
      <xdr:spPr>
        <a:xfrm>
          <a:off x="5543551" y="6115050"/>
          <a:ext cx="3063240" cy="666750"/>
        </a:xfrm>
        <a:prstGeom prst="wedgeRoundRectCallout">
          <a:avLst>
            <a:gd name="adj1" fmla="val -31786"/>
            <a:gd name="adj2" fmla="val -105546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>
              <a:solidFill>
                <a:schemeClr val="tx1"/>
              </a:solidFill>
            </a:rPr>
            <a:t>給油時に発行される納品書（領収書）に記載されている給油量を入力してください。</a:t>
          </a:r>
        </a:p>
      </xdr:txBody>
    </xdr:sp>
    <xdr:clientData/>
  </xdr:twoCellAnchor>
  <xdr:twoCellAnchor>
    <xdr:from>
      <xdr:col>8</xdr:col>
      <xdr:colOff>358140</xdr:colOff>
      <xdr:row>6</xdr:row>
      <xdr:rowOff>0</xdr:rowOff>
    </xdr:from>
    <xdr:to>
      <xdr:col>12</xdr:col>
      <xdr:colOff>171450</xdr:colOff>
      <xdr:row>7</xdr:row>
      <xdr:rowOff>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DA34355A-C557-44AC-878D-EC3DDFB717A1}"/>
            </a:ext>
          </a:extLst>
        </xdr:cNvPr>
        <xdr:cNvSpPr/>
      </xdr:nvSpPr>
      <xdr:spPr>
        <a:xfrm>
          <a:off x="7901940" y="735330"/>
          <a:ext cx="2842260" cy="350520"/>
        </a:xfrm>
        <a:prstGeom prst="wedgeRoundRectCallout">
          <a:avLst>
            <a:gd name="adj1" fmla="val -67268"/>
            <a:gd name="adj2" fmla="val 119977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>
              <a:ln>
                <a:noFill/>
              </a:ln>
              <a:solidFill>
                <a:schemeClr val="tx1"/>
              </a:solidFill>
            </a:rPr>
            <a:t>拠点は</a:t>
          </a:r>
          <a:r>
            <a:rPr kumimoji="1" lang="ja-JP" altLang="en-US" sz="1100" b="1" kern="1200">
              <a:ln w="38100">
                <a:noFill/>
              </a:ln>
              <a:solidFill>
                <a:srgbClr val="FF0000"/>
              </a:solidFill>
            </a:rPr>
            <a:t>プルダウンより選択</a:t>
          </a:r>
          <a:r>
            <a:rPr kumimoji="1" lang="ja-JP" altLang="en-US" sz="1100" kern="1200">
              <a:ln>
                <a:noFill/>
              </a:ln>
              <a:solidFill>
                <a:schemeClr val="tx1"/>
              </a:solidFill>
            </a:rPr>
            <a:t>してください。</a:t>
          </a:r>
        </a:p>
      </xdr:txBody>
    </xdr:sp>
    <xdr:clientData/>
  </xdr:twoCellAnchor>
  <xdr:twoCellAnchor>
    <xdr:from>
      <xdr:col>3</xdr:col>
      <xdr:colOff>207645</xdr:colOff>
      <xdr:row>20</xdr:row>
      <xdr:rowOff>148590</xdr:rowOff>
    </xdr:from>
    <xdr:to>
      <xdr:col>5</xdr:col>
      <xdr:colOff>131445</xdr:colOff>
      <xdr:row>24</xdr:row>
      <xdr:rowOff>59055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8E1FE8AA-5A95-4A8B-AC5B-50372C292878}"/>
            </a:ext>
          </a:extLst>
        </xdr:cNvPr>
        <xdr:cNvSpPr/>
      </xdr:nvSpPr>
      <xdr:spPr>
        <a:xfrm>
          <a:off x="2665095" y="4549140"/>
          <a:ext cx="1809750" cy="824865"/>
        </a:xfrm>
        <a:prstGeom prst="wedgeRoundRectCallout">
          <a:avLst>
            <a:gd name="adj1" fmla="val -25057"/>
            <a:gd name="adj2" fmla="val 76486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>
              <a:solidFill>
                <a:schemeClr val="tx1"/>
              </a:solidFill>
            </a:rPr>
            <a:t>給油時の</a:t>
          </a:r>
          <a:r>
            <a:rPr kumimoji="1" lang="ja-JP" altLang="en-US" sz="1100" b="1" kern="1200">
              <a:solidFill>
                <a:srgbClr val="FF0000"/>
              </a:solidFill>
            </a:rPr>
            <a:t>走行距離を入力してください。</a:t>
          </a:r>
        </a:p>
      </xdr:txBody>
    </xdr:sp>
    <xdr:clientData/>
  </xdr:twoCellAnchor>
  <xdr:twoCellAnchor>
    <xdr:from>
      <xdr:col>8</xdr:col>
      <xdr:colOff>441959</xdr:colOff>
      <xdr:row>7</xdr:row>
      <xdr:rowOff>226696</xdr:rowOff>
    </xdr:from>
    <xdr:to>
      <xdr:col>12</xdr:col>
      <xdr:colOff>542925</xdr:colOff>
      <xdr:row>10</xdr:row>
      <xdr:rowOff>95251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D888F337-5F2F-485B-BABA-116D2DA53DCE}"/>
            </a:ext>
          </a:extLst>
        </xdr:cNvPr>
        <xdr:cNvSpPr/>
      </xdr:nvSpPr>
      <xdr:spPr>
        <a:xfrm>
          <a:off x="7985759" y="1312546"/>
          <a:ext cx="3129916" cy="887730"/>
        </a:xfrm>
        <a:prstGeom prst="wedgeRoundRectCallout">
          <a:avLst>
            <a:gd name="adj1" fmla="val -71793"/>
            <a:gd name="adj2" fmla="val 16576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>
              <a:ln>
                <a:noFill/>
              </a:ln>
              <a:solidFill>
                <a:schemeClr val="tx1"/>
              </a:solidFill>
            </a:rPr>
            <a:t>車両番号を入力してください。</a:t>
          </a:r>
          <a:endParaRPr kumimoji="1" lang="en-US" altLang="ja-JP" sz="1100" kern="1200">
            <a:ln>
              <a:noFill/>
            </a:ln>
            <a:solidFill>
              <a:schemeClr val="tx1"/>
            </a:solidFill>
          </a:endParaRPr>
        </a:p>
        <a:p>
          <a:pPr algn="l"/>
          <a:r>
            <a:rPr kumimoji="1" lang="ja-JP" altLang="en-US" sz="1100" kern="1200">
              <a:ln>
                <a:noFill/>
              </a:ln>
              <a:solidFill>
                <a:schemeClr val="tx1"/>
              </a:solidFill>
            </a:rPr>
            <a:t>カード</a:t>
          </a:r>
          <a:r>
            <a:rPr kumimoji="1" lang="en-US" altLang="ja-JP" sz="1100" kern="1200">
              <a:ln>
                <a:noFill/>
              </a:ln>
              <a:solidFill>
                <a:schemeClr val="tx1"/>
              </a:solidFill>
            </a:rPr>
            <a:t>NO</a:t>
          </a:r>
          <a:r>
            <a:rPr kumimoji="1" lang="ja-JP" altLang="en-US" sz="1100" kern="1200">
              <a:ln>
                <a:noFill/>
              </a:ln>
              <a:solidFill>
                <a:schemeClr val="tx1"/>
              </a:solidFill>
            </a:rPr>
            <a:t>と紐づけをしているため</a:t>
          </a:r>
          <a:r>
            <a:rPr kumimoji="1" lang="ja-JP" altLang="en-US" sz="1100" b="1" kern="1200">
              <a:ln>
                <a:noFill/>
              </a:ln>
              <a:solidFill>
                <a:srgbClr val="FF0000"/>
              </a:solidFill>
            </a:rPr>
            <a:t>経理で行う請求書との確認作業にて必要</a:t>
          </a:r>
          <a:r>
            <a:rPr kumimoji="1" lang="ja-JP" altLang="en-US" sz="1100" kern="1200">
              <a:ln>
                <a:noFill/>
              </a:ln>
              <a:solidFill>
                <a:schemeClr val="tx1"/>
              </a:solidFill>
            </a:rPr>
            <a:t>となります。</a:t>
          </a:r>
        </a:p>
      </xdr:txBody>
    </xdr:sp>
    <xdr:clientData/>
  </xdr:twoCellAnchor>
  <xdr:twoCellAnchor>
    <xdr:from>
      <xdr:col>1</xdr:col>
      <xdr:colOff>381000</xdr:colOff>
      <xdr:row>26</xdr:row>
      <xdr:rowOff>207644</xdr:rowOff>
    </xdr:from>
    <xdr:to>
      <xdr:col>4</xdr:col>
      <xdr:colOff>476250</xdr:colOff>
      <xdr:row>29</xdr:row>
      <xdr:rowOff>190500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EBC55F9F-EBE3-49CB-BDF2-DE8902B756D2}"/>
            </a:ext>
          </a:extLst>
        </xdr:cNvPr>
        <xdr:cNvSpPr/>
      </xdr:nvSpPr>
      <xdr:spPr>
        <a:xfrm>
          <a:off x="971550" y="6227444"/>
          <a:ext cx="2381250" cy="668656"/>
        </a:xfrm>
        <a:prstGeom prst="wedgeRoundRectCallout">
          <a:avLst>
            <a:gd name="adj1" fmla="val -16047"/>
            <a:gd name="adj2" fmla="val -88162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 kern="1200">
              <a:solidFill>
                <a:srgbClr val="0070C0"/>
              </a:solidFill>
            </a:rPr>
            <a:t>前回</a:t>
          </a:r>
          <a:r>
            <a:rPr kumimoji="1" lang="ja-JP" altLang="en-US" sz="1100" kern="1200">
              <a:solidFill>
                <a:schemeClr val="tx1"/>
              </a:solidFill>
            </a:rPr>
            <a:t>給油した時の</a:t>
          </a:r>
          <a:r>
            <a:rPr kumimoji="1" lang="ja-JP" altLang="en-US" sz="1100" b="0" kern="1200">
              <a:solidFill>
                <a:schemeClr val="tx1"/>
              </a:solidFill>
            </a:rPr>
            <a:t>走行距離を入力してください。</a:t>
          </a:r>
          <a:endParaRPr kumimoji="1" lang="en-US" altLang="ja-JP" sz="11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295274</xdr:colOff>
      <xdr:row>20</xdr:row>
      <xdr:rowOff>133352</xdr:rowOff>
    </xdr:from>
    <xdr:to>
      <xdr:col>13</xdr:col>
      <xdr:colOff>219075</xdr:colOff>
      <xdr:row>23</xdr:row>
      <xdr:rowOff>112396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C321D176-935A-498D-A0F7-80BCD8B11993}"/>
            </a:ext>
          </a:extLst>
        </xdr:cNvPr>
        <xdr:cNvSpPr/>
      </xdr:nvSpPr>
      <xdr:spPr>
        <a:xfrm>
          <a:off x="7839074" y="4533902"/>
          <a:ext cx="3619501" cy="664844"/>
        </a:xfrm>
        <a:prstGeom prst="wedgeRoundRectCallout">
          <a:avLst>
            <a:gd name="adj1" fmla="val -71793"/>
            <a:gd name="adj2" fmla="val 16576"/>
            <a:gd name="adj3" fmla="val 16667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kern="1200">
              <a:ln>
                <a:noFill/>
              </a:ln>
              <a:solidFill>
                <a:sysClr val="windowText" lastClr="000000"/>
              </a:solidFill>
            </a:rPr>
            <a:t>塗り潰されていない</a:t>
          </a:r>
          <a:r>
            <a:rPr kumimoji="1" lang="ja-JP" altLang="en-US" sz="1100" b="1" kern="1200">
              <a:ln>
                <a:noFill/>
              </a:ln>
              <a:solidFill>
                <a:srgbClr val="FF0000"/>
              </a:solidFill>
            </a:rPr>
            <a:t>「走行距離」と「燃費」</a:t>
          </a:r>
          <a:r>
            <a:rPr kumimoji="1" lang="ja-JP" altLang="en-US" sz="1100" b="0" kern="1200">
              <a:ln>
                <a:noFill/>
              </a:ln>
              <a:solidFill>
                <a:sysClr val="windowText" lastClr="000000"/>
              </a:solidFill>
            </a:rPr>
            <a:t>については</a:t>
          </a:r>
          <a:r>
            <a:rPr kumimoji="1" lang="ja-JP" altLang="en-US" sz="1100" b="1" kern="1200">
              <a:ln>
                <a:noFill/>
              </a:ln>
              <a:solidFill>
                <a:srgbClr val="FF0000"/>
              </a:solidFill>
            </a:rPr>
            <a:t>自動計算されますので入力は不要</a:t>
          </a:r>
          <a:r>
            <a:rPr kumimoji="1" lang="ja-JP" altLang="en-US" sz="1100" b="0" kern="1200">
              <a:ln>
                <a:noFill/>
              </a:ln>
              <a:solidFill>
                <a:sysClr val="windowText" lastClr="000000"/>
              </a:solidFill>
            </a:rPr>
            <a:t>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372A-29A2-49BC-808B-0915EE9FF83F}">
  <sheetPr>
    <tabColor rgb="FFFFFF00"/>
  </sheetPr>
  <dimension ref="A1:J140"/>
  <sheetViews>
    <sheetView tabSelected="1" zoomScaleNormal="100" workbookViewId="0">
      <pane xSplit="2" ySplit="12" topLeftCell="C13" activePane="bottomRight" state="frozen"/>
      <selection pane="topRight" activeCell="C1" sqref="C1"/>
      <selection pane="bottomLeft" activeCell="A10" sqref="A10"/>
      <selection pane="bottomRight" activeCell="H8" sqref="H8"/>
    </sheetView>
  </sheetViews>
  <sheetFormatPr defaultRowHeight="18" x14ac:dyDescent="0.45"/>
  <cols>
    <col min="1" max="1" width="7.69921875" customWidth="1"/>
    <col min="2" max="2" width="5.19921875" customWidth="1"/>
    <col min="3" max="3" width="19.19921875" customWidth="1"/>
    <col min="4" max="4" width="5.5" style="3" bestFit="1" customWidth="1"/>
    <col min="5" max="5" width="19.296875" customWidth="1"/>
    <col min="6" max="7" width="13.5" customWidth="1"/>
    <col min="8" max="8" width="15" customWidth="1"/>
    <col min="9" max="9" width="13.5" customWidth="1"/>
  </cols>
  <sheetData>
    <row r="1" spans="1:9" ht="26.4" x14ac:dyDescent="0.45">
      <c r="A1" s="1" t="s">
        <v>29</v>
      </c>
    </row>
    <row r="2" spans="1:9" ht="19.8" customHeight="1" x14ac:dyDescent="0.45">
      <c r="A2" s="24" t="s">
        <v>32</v>
      </c>
    </row>
    <row r="3" spans="1:9" ht="19.8" customHeight="1" x14ac:dyDescent="0.45">
      <c r="A3" s="24" t="s">
        <v>33</v>
      </c>
    </row>
    <row r="4" spans="1:9" ht="19.8" x14ac:dyDescent="0.45">
      <c r="A4" s="49" t="s">
        <v>31</v>
      </c>
      <c r="B4" s="47"/>
      <c r="C4" s="47"/>
    </row>
    <row r="5" spans="1:9" x14ac:dyDescent="0.45">
      <c r="A5" s="48"/>
      <c r="B5" s="47"/>
      <c r="C5" s="47"/>
    </row>
    <row r="6" spans="1:9" ht="18.600000000000001" thickBot="1" x14ac:dyDescent="0.5">
      <c r="A6" s="50" t="s">
        <v>16</v>
      </c>
      <c r="B6" s="50"/>
      <c r="C6" s="50"/>
    </row>
    <row r="7" spans="1:9" s="30" customFormat="1" ht="22.2" x14ac:dyDescent="0.45">
      <c r="A7" s="25" t="s">
        <v>1</v>
      </c>
      <c r="B7" s="26" t="s">
        <v>2</v>
      </c>
      <c r="C7" s="27" t="s">
        <v>3</v>
      </c>
      <c r="D7" s="28" t="s">
        <v>4</v>
      </c>
      <c r="E7" s="28" t="s">
        <v>5</v>
      </c>
      <c r="F7" s="55" t="s">
        <v>6</v>
      </c>
      <c r="G7" s="56"/>
      <c r="H7" s="28" t="s">
        <v>7</v>
      </c>
      <c r="I7" s="29"/>
    </row>
    <row r="8" spans="1:9" s="30" customFormat="1" ht="25.2" customHeight="1" thickBot="1" x14ac:dyDescent="0.5">
      <c r="A8" s="31">
        <v>2025</v>
      </c>
      <c r="B8" s="32">
        <v>7</v>
      </c>
      <c r="C8" s="33">
        <v>45839</v>
      </c>
      <c r="D8" s="34" t="s">
        <v>4</v>
      </c>
      <c r="E8" s="35">
        <v>45869</v>
      </c>
      <c r="F8" s="53" t="s">
        <v>27</v>
      </c>
      <c r="G8" s="54"/>
      <c r="H8" s="46" t="s">
        <v>26</v>
      </c>
      <c r="I8" s="29"/>
    </row>
    <row r="9" spans="1:9" ht="18.600000000000001" thickBot="1" x14ac:dyDescent="0.5"/>
    <row r="10" spans="1:9" s="30" customFormat="1" ht="36" customHeight="1" thickBot="1" x14ac:dyDescent="0.5">
      <c r="A10" s="51" t="s">
        <v>9</v>
      </c>
      <c r="B10" s="52"/>
      <c r="C10" s="36">
        <f>COUNT(G13:G43)</f>
        <v>4</v>
      </c>
      <c r="D10" s="37" t="s">
        <v>17</v>
      </c>
      <c r="E10" s="38" t="s">
        <v>8</v>
      </c>
      <c r="F10" s="39">
        <f>SUM(F13:F43)</f>
        <v>2446</v>
      </c>
      <c r="G10" s="40" t="s">
        <v>30</v>
      </c>
      <c r="H10" s="41">
        <v>1005</v>
      </c>
    </row>
    <row r="11" spans="1:9" ht="18.600000000000001" thickBot="1" x14ac:dyDescent="0.5"/>
    <row r="12" spans="1:9" ht="18" customHeight="1" x14ac:dyDescent="0.45">
      <c r="A12" s="42" t="s">
        <v>10</v>
      </c>
      <c r="B12" s="43" t="s">
        <v>11</v>
      </c>
      <c r="C12" s="22" t="s">
        <v>28</v>
      </c>
      <c r="D12" s="23"/>
      <c r="E12" s="44" t="s">
        <v>12</v>
      </c>
      <c r="F12" s="43" t="s">
        <v>14</v>
      </c>
      <c r="G12" s="43" t="s">
        <v>13</v>
      </c>
      <c r="H12" s="45" t="s">
        <v>15</v>
      </c>
    </row>
    <row r="13" spans="1:9" ht="18" customHeight="1" x14ac:dyDescent="0.45">
      <c r="A13" s="6">
        <f>C8</f>
        <v>45839</v>
      </c>
      <c r="B13" s="7">
        <f>C8</f>
        <v>45839</v>
      </c>
      <c r="C13" s="14"/>
      <c r="D13" s="18" t="s">
        <v>4</v>
      </c>
      <c r="E13" s="16"/>
      <c r="F13" s="8">
        <f>E13-C13</f>
        <v>0</v>
      </c>
      <c r="G13" s="9"/>
      <c r="H13" s="19" t="str">
        <f>IFERROR(F13/G13,"")</f>
        <v/>
      </c>
    </row>
    <row r="14" spans="1:9" ht="18" customHeight="1" x14ac:dyDescent="0.45">
      <c r="A14" s="6">
        <f>IF(A13&gt;=$E$8,"",A13+1)</f>
        <v>45840</v>
      </c>
      <c r="B14" s="7">
        <f>IF(B13&gt;=$E$8,"",B13+1)</f>
        <v>45840</v>
      </c>
      <c r="C14" s="14"/>
      <c r="D14" s="18" t="s">
        <v>4</v>
      </c>
      <c r="E14" s="16"/>
      <c r="F14" s="8">
        <f t="shared" ref="F14:F43" si="0">E14-C14</f>
        <v>0</v>
      </c>
      <c r="G14" s="9"/>
      <c r="H14" s="19" t="str">
        <f>IFERROR(F14/G14,"")</f>
        <v/>
      </c>
    </row>
    <row r="15" spans="1:9" ht="18" customHeight="1" x14ac:dyDescent="0.45">
      <c r="A15" s="6">
        <f t="shared" ref="A15:A43" si="1">IF(A14&gt;=$E$8,"",A14+1)</f>
        <v>45841</v>
      </c>
      <c r="B15" s="7">
        <f t="shared" ref="B15:B43" si="2">IF(B14&gt;=$E$8,"",B14+1)</f>
        <v>45841</v>
      </c>
      <c r="C15" s="14"/>
      <c r="D15" s="18" t="s">
        <v>4</v>
      </c>
      <c r="E15" s="16"/>
      <c r="F15" s="8">
        <f t="shared" si="0"/>
        <v>0</v>
      </c>
      <c r="G15" s="9"/>
      <c r="H15" s="19" t="str">
        <f t="shared" ref="H15:H43" si="3">IFERROR(F15/G15,"")</f>
        <v/>
      </c>
    </row>
    <row r="16" spans="1:9" ht="18" customHeight="1" x14ac:dyDescent="0.45">
      <c r="A16" s="6">
        <f t="shared" si="1"/>
        <v>45842</v>
      </c>
      <c r="B16" s="7">
        <f t="shared" si="2"/>
        <v>45842</v>
      </c>
      <c r="C16" s="14"/>
      <c r="D16" s="18" t="s">
        <v>4</v>
      </c>
      <c r="E16" s="16"/>
      <c r="F16" s="8">
        <f t="shared" si="0"/>
        <v>0</v>
      </c>
      <c r="G16" s="9"/>
      <c r="H16" s="19" t="str">
        <f t="shared" si="3"/>
        <v/>
      </c>
    </row>
    <row r="17" spans="1:10" ht="18" customHeight="1" x14ac:dyDescent="0.45">
      <c r="A17" s="6">
        <f t="shared" si="1"/>
        <v>45843</v>
      </c>
      <c r="B17" s="7">
        <f t="shared" si="2"/>
        <v>45843</v>
      </c>
      <c r="C17" s="14"/>
      <c r="D17" s="18" t="s">
        <v>4</v>
      </c>
      <c r="E17" s="16"/>
      <c r="F17" s="8">
        <f t="shared" si="0"/>
        <v>0</v>
      </c>
      <c r="G17" s="9"/>
      <c r="H17" s="19" t="str">
        <f t="shared" si="3"/>
        <v/>
      </c>
    </row>
    <row r="18" spans="1:10" ht="18" customHeight="1" x14ac:dyDescent="0.45">
      <c r="A18" s="6">
        <f t="shared" si="1"/>
        <v>45844</v>
      </c>
      <c r="B18" s="7">
        <f t="shared" si="2"/>
        <v>45844</v>
      </c>
      <c r="C18" s="14"/>
      <c r="D18" s="18" t="s">
        <v>4</v>
      </c>
      <c r="E18" s="16"/>
      <c r="F18" s="8">
        <f t="shared" si="0"/>
        <v>0</v>
      </c>
      <c r="G18" s="9"/>
      <c r="H18" s="19" t="str">
        <f t="shared" si="3"/>
        <v/>
      </c>
    </row>
    <row r="19" spans="1:10" ht="18" customHeight="1" x14ac:dyDescent="0.45">
      <c r="A19" s="6">
        <f t="shared" si="1"/>
        <v>45845</v>
      </c>
      <c r="B19" s="7">
        <f t="shared" si="2"/>
        <v>45845</v>
      </c>
      <c r="C19" s="14"/>
      <c r="D19" s="18" t="s">
        <v>4</v>
      </c>
      <c r="E19" s="16"/>
      <c r="F19" s="8">
        <f t="shared" si="0"/>
        <v>0</v>
      </c>
      <c r="G19" s="9"/>
      <c r="H19" s="19" t="str">
        <f t="shared" si="3"/>
        <v/>
      </c>
    </row>
    <row r="20" spans="1:10" ht="18" customHeight="1" x14ac:dyDescent="0.45">
      <c r="A20" s="6">
        <f t="shared" si="1"/>
        <v>45846</v>
      </c>
      <c r="B20" s="7">
        <f t="shared" si="2"/>
        <v>45846</v>
      </c>
      <c r="C20" s="14"/>
      <c r="D20" s="18" t="s">
        <v>4</v>
      </c>
      <c r="E20" s="16"/>
      <c r="F20" s="8">
        <f t="shared" si="0"/>
        <v>0</v>
      </c>
      <c r="G20" s="9"/>
      <c r="H20" s="19" t="str">
        <f t="shared" si="3"/>
        <v/>
      </c>
    </row>
    <row r="21" spans="1:10" ht="18" customHeight="1" x14ac:dyDescent="0.45">
      <c r="A21" s="6">
        <f t="shared" si="1"/>
        <v>45847</v>
      </c>
      <c r="B21" s="7">
        <f t="shared" si="2"/>
        <v>45847</v>
      </c>
      <c r="C21" s="14"/>
      <c r="D21" s="18" t="s">
        <v>4</v>
      </c>
      <c r="E21" s="16"/>
      <c r="F21" s="8">
        <f t="shared" si="0"/>
        <v>0</v>
      </c>
      <c r="G21" s="9"/>
      <c r="H21" s="19" t="str">
        <f t="shared" si="3"/>
        <v/>
      </c>
    </row>
    <row r="22" spans="1:10" ht="18" customHeight="1" x14ac:dyDescent="0.45">
      <c r="A22" s="6">
        <f t="shared" si="1"/>
        <v>45848</v>
      </c>
      <c r="B22" s="7">
        <f t="shared" si="2"/>
        <v>45848</v>
      </c>
      <c r="C22" s="14"/>
      <c r="D22" s="18" t="s">
        <v>4</v>
      </c>
      <c r="E22" s="16"/>
      <c r="F22" s="8">
        <f t="shared" si="0"/>
        <v>0</v>
      </c>
      <c r="G22" s="9"/>
      <c r="H22" s="19" t="str">
        <f t="shared" si="3"/>
        <v/>
      </c>
    </row>
    <row r="23" spans="1:10" ht="18" customHeight="1" x14ac:dyDescent="0.45">
      <c r="A23" s="6">
        <f t="shared" si="1"/>
        <v>45849</v>
      </c>
      <c r="B23" s="7">
        <f t="shared" si="2"/>
        <v>45849</v>
      </c>
      <c r="C23" s="14"/>
      <c r="D23" s="18" t="s">
        <v>4</v>
      </c>
      <c r="E23" s="16"/>
      <c r="F23" s="8">
        <f t="shared" si="0"/>
        <v>0</v>
      </c>
      <c r="G23" s="9"/>
      <c r="H23" s="19" t="str">
        <f t="shared" si="3"/>
        <v/>
      </c>
      <c r="J23" s="4"/>
    </row>
    <row r="24" spans="1:10" ht="18" customHeight="1" x14ac:dyDescent="0.45">
      <c r="A24" s="6">
        <f t="shared" si="1"/>
        <v>45850</v>
      </c>
      <c r="B24" s="7">
        <f t="shared" si="2"/>
        <v>45850</v>
      </c>
      <c r="C24" s="14"/>
      <c r="D24" s="18" t="s">
        <v>4</v>
      </c>
      <c r="E24" s="16"/>
      <c r="F24" s="8">
        <f t="shared" si="0"/>
        <v>0</v>
      </c>
      <c r="G24" s="9"/>
      <c r="H24" s="19" t="str">
        <f t="shared" si="3"/>
        <v/>
      </c>
    </row>
    <row r="25" spans="1:10" ht="18" customHeight="1" x14ac:dyDescent="0.45">
      <c r="A25" s="6">
        <f t="shared" si="1"/>
        <v>45851</v>
      </c>
      <c r="B25" s="7">
        <f t="shared" si="2"/>
        <v>45851</v>
      </c>
      <c r="C25" s="14"/>
      <c r="D25" s="18" t="s">
        <v>4</v>
      </c>
      <c r="E25" s="16"/>
      <c r="F25" s="8">
        <f t="shared" si="0"/>
        <v>0</v>
      </c>
      <c r="G25" s="9"/>
      <c r="H25" s="19" t="str">
        <f t="shared" si="3"/>
        <v/>
      </c>
    </row>
    <row r="26" spans="1:10" ht="18" customHeight="1" x14ac:dyDescent="0.45">
      <c r="A26" s="6">
        <f t="shared" si="1"/>
        <v>45852</v>
      </c>
      <c r="B26" s="7">
        <f t="shared" si="2"/>
        <v>45852</v>
      </c>
      <c r="C26" s="14">
        <v>3215</v>
      </c>
      <c r="D26" s="18" t="s">
        <v>4</v>
      </c>
      <c r="E26" s="16">
        <v>3757</v>
      </c>
      <c r="F26" s="8">
        <f>E26-C26</f>
        <v>542</v>
      </c>
      <c r="G26" s="9">
        <v>30.28</v>
      </c>
      <c r="H26" s="19">
        <f>IFERROR(F26/G26,"")</f>
        <v>17.899603698811095</v>
      </c>
    </row>
    <row r="27" spans="1:10" ht="18" customHeight="1" x14ac:dyDescent="0.45">
      <c r="A27" s="6">
        <f t="shared" si="1"/>
        <v>45853</v>
      </c>
      <c r="B27" s="7">
        <f t="shared" si="2"/>
        <v>45853</v>
      </c>
      <c r="C27" s="14"/>
      <c r="D27" s="18" t="s">
        <v>4</v>
      </c>
      <c r="E27" s="16"/>
      <c r="F27" s="8">
        <f t="shared" si="0"/>
        <v>0</v>
      </c>
      <c r="G27" s="9"/>
      <c r="H27" s="19" t="str">
        <f t="shared" si="3"/>
        <v/>
      </c>
    </row>
    <row r="28" spans="1:10" ht="18" customHeight="1" x14ac:dyDescent="0.45">
      <c r="A28" s="6">
        <f t="shared" si="1"/>
        <v>45854</v>
      </c>
      <c r="B28" s="7">
        <f t="shared" si="2"/>
        <v>45854</v>
      </c>
      <c r="C28" s="14"/>
      <c r="D28" s="18" t="s">
        <v>4</v>
      </c>
      <c r="E28" s="16"/>
      <c r="F28" s="8">
        <f t="shared" si="0"/>
        <v>0</v>
      </c>
      <c r="G28" s="9"/>
      <c r="H28" s="19" t="str">
        <f t="shared" si="3"/>
        <v/>
      </c>
    </row>
    <row r="29" spans="1:10" ht="18" customHeight="1" x14ac:dyDescent="0.45">
      <c r="A29" s="6">
        <f t="shared" si="1"/>
        <v>45855</v>
      </c>
      <c r="B29" s="7">
        <f t="shared" si="2"/>
        <v>45855</v>
      </c>
      <c r="C29" s="14"/>
      <c r="D29" s="18" t="s">
        <v>4</v>
      </c>
      <c r="E29" s="16"/>
      <c r="F29" s="8">
        <f t="shared" si="0"/>
        <v>0</v>
      </c>
      <c r="G29" s="9"/>
      <c r="H29" s="19" t="str">
        <f t="shared" si="3"/>
        <v/>
      </c>
    </row>
    <row r="30" spans="1:10" ht="18" customHeight="1" x14ac:dyDescent="0.45">
      <c r="A30" s="6">
        <f t="shared" si="1"/>
        <v>45856</v>
      </c>
      <c r="B30" s="7">
        <f t="shared" si="2"/>
        <v>45856</v>
      </c>
      <c r="C30" s="14"/>
      <c r="D30" s="18" t="s">
        <v>4</v>
      </c>
      <c r="E30" s="16"/>
      <c r="F30" s="8">
        <f t="shared" si="0"/>
        <v>0</v>
      </c>
      <c r="G30" s="9"/>
      <c r="H30" s="19" t="str">
        <f t="shared" si="3"/>
        <v/>
      </c>
    </row>
    <row r="31" spans="1:10" ht="18" customHeight="1" x14ac:dyDescent="0.45">
      <c r="A31" s="6">
        <f t="shared" si="1"/>
        <v>45857</v>
      </c>
      <c r="B31" s="7">
        <f t="shared" si="2"/>
        <v>45857</v>
      </c>
      <c r="C31" s="14"/>
      <c r="D31" s="18" t="s">
        <v>4</v>
      </c>
      <c r="E31" s="16"/>
      <c r="F31" s="8">
        <f t="shared" si="0"/>
        <v>0</v>
      </c>
      <c r="G31" s="9"/>
      <c r="H31" s="19" t="str">
        <f t="shared" si="3"/>
        <v/>
      </c>
    </row>
    <row r="32" spans="1:10" ht="18" customHeight="1" x14ac:dyDescent="0.45">
      <c r="A32" s="6">
        <f t="shared" si="1"/>
        <v>45858</v>
      </c>
      <c r="B32" s="7">
        <f t="shared" si="2"/>
        <v>45858</v>
      </c>
      <c r="C32" s="14"/>
      <c r="D32" s="18" t="s">
        <v>4</v>
      </c>
      <c r="E32" s="16"/>
      <c r="F32" s="8">
        <f t="shared" si="0"/>
        <v>0</v>
      </c>
      <c r="G32" s="9"/>
      <c r="H32" s="19" t="str">
        <f t="shared" si="3"/>
        <v/>
      </c>
    </row>
    <row r="33" spans="1:8" ht="18" customHeight="1" x14ac:dyDescent="0.45">
      <c r="A33" s="6">
        <f t="shared" si="1"/>
        <v>45859</v>
      </c>
      <c r="B33" s="7">
        <f t="shared" si="2"/>
        <v>45859</v>
      </c>
      <c r="C33" s="14"/>
      <c r="D33" s="18" t="s">
        <v>4</v>
      </c>
      <c r="E33" s="16"/>
      <c r="F33" s="8">
        <f t="shared" si="0"/>
        <v>0</v>
      </c>
      <c r="G33" s="9"/>
      <c r="H33" s="19" t="str">
        <f t="shared" si="3"/>
        <v/>
      </c>
    </row>
    <row r="34" spans="1:8" ht="18" customHeight="1" x14ac:dyDescent="0.45">
      <c r="A34" s="6">
        <f t="shared" si="1"/>
        <v>45860</v>
      </c>
      <c r="B34" s="7">
        <f t="shared" si="2"/>
        <v>45860</v>
      </c>
      <c r="C34" s="14"/>
      <c r="D34" s="18" t="s">
        <v>4</v>
      </c>
      <c r="E34" s="16"/>
      <c r="F34" s="8">
        <f t="shared" si="0"/>
        <v>0</v>
      </c>
      <c r="G34" s="9"/>
      <c r="H34" s="19" t="str">
        <f t="shared" si="3"/>
        <v/>
      </c>
    </row>
    <row r="35" spans="1:8" ht="18" customHeight="1" x14ac:dyDescent="0.45">
      <c r="A35" s="6">
        <f t="shared" si="1"/>
        <v>45861</v>
      </c>
      <c r="B35" s="7">
        <f t="shared" si="2"/>
        <v>45861</v>
      </c>
      <c r="C35" s="14">
        <v>3757</v>
      </c>
      <c r="D35" s="18" t="s">
        <v>4</v>
      </c>
      <c r="E35" s="16">
        <v>4368</v>
      </c>
      <c r="F35" s="8">
        <f t="shared" si="0"/>
        <v>611</v>
      </c>
      <c r="G35" s="9">
        <v>31.76</v>
      </c>
      <c r="H35" s="19">
        <f t="shared" si="3"/>
        <v>19.238035264483628</v>
      </c>
    </row>
    <row r="36" spans="1:8" ht="18" customHeight="1" x14ac:dyDescent="0.45">
      <c r="A36" s="6">
        <f t="shared" si="1"/>
        <v>45862</v>
      </c>
      <c r="B36" s="7">
        <f t="shared" si="2"/>
        <v>45862</v>
      </c>
      <c r="C36" s="14"/>
      <c r="D36" s="18" t="s">
        <v>4</v>
      </c>
      <c r="E36" s="16"/>
      <c r="F36" s="8">
        <f t="shared" si="0"/>
        <v>0</v>
      </c>
      <c r="G36" s="9"/>
      <c r="H36" s="19" t="str">
        <f t="shared" si="3"/>
        <v/>
      </c>
    </row>
    <row r="37" spans="1:8" ht="18" customHeight="1" x14ac:dyDescent="0.45">
      <c r="A37" s="6">
        <f t="shared" si="1"/>
        <v>45863</v>
      </c>
      <c r="B37" s="7">
        <f t="shared" si="2"/>
        <v>45863</v>
      </c>
      <c r="C37" s="14"/>
      <c r="D37" s="18" t="s">
        <v>4</v>
      </c>
      <c r="E37" s="16"/>
      <c r="F37" s="8">
        <f t="shared" si="0"/>
        <v>0</v>
      </c>
      <c r="G37" s="9"/>
      <c r="H37" s="19" t="str">
        <f t="shared" si="3"/>
        <v/>
      </c>
    </row>
    <row r="38" spans="1:8" ht="18" customHeight="1" x14ac:dyDescent="0.45">
      <c r="A38" s="6">
        <f t="shared" si="1"/>
        <v>45864</v>
      </c>
      <c r="B38" s="7">
        <f t="shared" si="2"/>
        <v>45864</v>
      </c>
      <c r="C38" s="14"/>
      <c r="D38" s="18" t="s">
        <v>4</v>
      </c>
      <c r="E38" s="16"/>
      <c r="F38" s="8">
        <f t="shared" si="0"/>
        <v>0</v>
      </c>
      <c r="G38" s="9"/>
      <c r="H38" s="19" t="str">
        <f t="shared" si="3"/>
        <v/>
      </c>
    </row>
    <row r="39" spans="1:8" ht="18" customHeight="1" x14ac:dyDescent="0.45">
      <c r="A39" s="6">
        <f t="shared" si="1"/>
        <v>45865</v>
      </c>
      <c r="B39" s="7">
        <f t="shared" si="2"/>
        <v>45865</v>
      </c>
      <c r="C39" s="14"/>
      <c r="D39" s="18" t="s">
        <v>4</v>
      </c>
      <c r="E39" s="16"/>
      <c r="F39" s="8">
        <f t="shared" si="0"/>
        <v>0</v>
      </c>
      <c r="G39" s="9"/>
      <c r="H39" s="19" t="str">
        <f t="shared" si="3"/>
        <v/>
      </c>
    </row>
    <row r="40" spans="1:8" ht="18" customHeight="1" x14ac:dyDescent="0.45">
      <c r="A40" s="6">
        <f t="shared" si="1"/>
        <v>45866</v>
      </c>
      <c r="B40" s="7">
        <f t="shared" si="2"/>
        <v>45866</v>
      </c>
      <c r="C40" s="14">
        <v>4368</v>
      </c>
      <c r="D40" s="18" t="s">
        <v>4</v>
      </c>
      <c r="E40" s="16">
        <v>4895</v>
      </c>
      <c r="F40" s="8">
        <f t="shared" si="0"/>
        <v>527</v>
      </c>
      <c r="G40" s="9">
        <v>32.840000000000003</v>
      </c>
      <c r="H40" s="19">
        <f t="shared" si="3"/>
        <v>16.047503045066989</v>
      </c>
    </row>
    <row r="41" spans="1:8" ht="18" customHeight="1" x14ac:dyDescent="0.45">
      <c r="A41" s="6">
        <f t="shared" si="1"/>
        <v>45867</v>
      </c>
      <c r="B41" s="7">
        <f t="shared" si="2"/>
        <v>45867</v>
      </c>
      <c r="C41" s="14"/>
      <c r="D41" s="18" t="s">
        <v>4</v>
      </c>
      <c r="E41" s="16"/>
      <c r="F41" s="8">
        <f t="shared" si="0"/>
        <v>0</v>
      </c>
      <c r="G41" s="9"/>
      <c r="H41" s="19" t="str">
        <f t="shared" si="3"/>
        <v/>
      </c>
    </row>
    <row r="42" spans="1:8" ht="18" customHeight="1" x14ac:dyDescent="0.45">
      <c r="A42" s="6">
        <f>IF(A41&gt;=$E$8,"",A41+1)</f>
        <v>45868</v>
      </c>
      <c r="B42" s="7">
        <f t="shared" si="2"/>
        <v>45868</v>
      </c>
      <c r="C42" s="14">
        <v>4895</v>
      </c>
      <c r="D42" s="18" t="s">
        <v>4</v>
      </c>
      <c r="E42" s="16">
        <v>5661</v>
      </c>
      <c r="F42" s="8">
        <f t="shared" si="0"/>
        <v>766</v>
      </c>
      <c r="G42" s="9">
        <v>35.85</v>
      </c>
      <c r="H42" s="19">
        <f t="shared" si="3"/>
        <v>21.366806136680612</v>
      </c>
    </row>
    <row r="43" spans="1:8" ht="18" customHeight="1" thickBot="1" x14ac:dyDescent="0.5">
      <c r="A43" s="10">
        <f t="shared" si="1"/>
        <v>45869</v>
      </c>
      <c r="B43" s="11">
        <f t="shared" si="2"/>
        <v>45869</v>
      </c>
      <c r="C43" s="15"/>
      <c r="D43" s="5" t="s">
        <v>4</v>
      </c>
      <c r="E43" s="17"/>
      <c r="F43" s="12">
        <f t="shared" si="0"/>
        <v>0</v>
      </c>
      <c r="G43" s="13"/>
      <c r="H43" s="20" t="str">
        <f t="shared" si="3"/>
        <v/>
      </c>
    </row>
    <row r="44" spans="1:8" ht="24" customHeight="1" x14ac:dyDescent="0.45">
      <c r="A44" s="2"/>
    </row>
    <row r="45" spans="1:8" x14ac:dyDescent="0.45">
      <c r="A45" s="2"/>
    </row>
    <row r="46" spans="1:8" x14ac:dyDescent="0.45">
      <c r="A46" s="2"/>
    </row>
    <row r="47" spans="1:8" x14ac:dyDescent="0.45">
      <c r="A47" s="2"/>
    </row>
    <row r="48" spans="1:8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</sheetData>
  <mergeCells count="4">
    <mergeCell ref="A6:C6"/>
    <mergeCell ref="A10:B10"/>
    <mergeCell ref="F8:G8"/>
    <mergeCell ref="F7:G7"/>
  </mergeCells>
  <phoneticPr fontId="1"/>
  <conditionalFormatting sqref="C13:C43">
    <cfRule type="cellIs" dxfId="5" priority="4" operator="equal">
      <formula>0</formula>
    </cfRule>
  </conditionalFormatting>
  <conditionalFormatting sqref="F13:F43">
    <cfRule type="cellIs" dxfId="4" priority="1" operator="equal">
      <formula>0</formula>
    </cfRule>
    <cfRule type="expression" dxfId="3" priority="2">
      <formula>F13&lt;0</formula>
    </cfRule>
  </conditionalFormatting>
  <pageMargins left="0" right="0" top="0" bottom="0" header="0" footer="0"/>
  <pageSetup paperSize="9" scale="9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0858E4-E001-4AB1-AFC2-ABC076456B39}">
          <x14:formula1>
            <xm:f>拠点一覧!$A$2:$A$8</xm:f>
          </x14:formula1>
          <xm:sqref>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271A-2BB7-4337-AB2A-CA571E00C219}">
  <sheetPr>
    <tabColor rgb="FFFF0000"/>
  </sheetPr>
  <dimension ref="A1:J140"/>
  <sheetViews>
    <sheetView zoomScaleNormal="100" workbookViewId="0">
      <pane xSplit="2" ySplit="12" topLeftCell="C13" activePane="bottomRight" state="frozen"/>
      <selection pane="topRight" activeCell="C1" sqref="C1"/>
      <selection pane="bottomLeft" activeCell="A10" sqref="A10"/>
      <selection pane="bottomRight" activeCell="H8" sqref="H8"/>
    </sheetView>
  </sheetViews>
  <sheetFormatPr defaultRowHeight="18" x14ac:dyDescent="0.45"/>
  <cols>
    <col min="1" max="1" width="7.69921875" customWidth="1"/>
    <col min="2" max="2" width="5.19921875" customWidth="1"/>
    <col min="3" max="3" width="19.19921875" customWidth="1"/>
    <col min="4" max="4" width="5.5" style="3" bestFit="1" customWidth="1"/>
    <col min="5" max="5" width="19.296875" customWidth="1"/>
    <col min="6" max="7" width="13.5" customWidth="1"/>
    <col min="8" max="8" width="15" customWidth="1"/>
    <col min="9" max="9" width="13.5" customWidth="1"/>
  </cols>
  <sheetData>
    <row r="1" spans="1:9" ht="26.4" x14ac:dyDescent="0.45">
      <c r="A1" s="1" t="s">
        <v>0</v>
      </c>
    </row>
    <row r="2" spans="1:9" ht="19.8" customHeight="1" x14ac:dyDescent="0.45">
      <c r="A2" s="24" t="s">
        <v>32</v>
      </c>
    </row>
    <row r="3" spans="1:9" ht="19.8" customHeight="1" x14ac:dyDescent="0.45">
      <c r="A3" s="24" t="s">
        <v>33</v>
      </c>
    </row>
    <row r="4" spans="1:9" ht="19.8" x14ac:dyDescent="0.45">
      <c r="A4" s="49" t="s">
        <v>31</v>
      </c>
      <c r="B4" s="47"/>
      <c r="C4" s="47"/>
    </row>
    <row r="5" spans="1:9" x14ac:dyDescent="0.45">
      <c r="A5" s="48"/>
      <c r="B5" s="47"/>
      <c r="C5" s="47"/>
    </row>
    <row r="6" spans="1:9" ht="18.600000000000001" thickBot="1" x14ac:dyDescent="0.5">
      <c r="A6" s="50" t="s">
        <v>16</v>
      </c>
      <c r="B6" s="50"/>
      <c r="C6" s="50"/>
    </row>
    <row r="7" spans="1:9" s="30" customFormat="1" ht="22.2" x14ac:dyDescent="0.45">
      <c r="A7" s="25" t="s">
        <v>1</v>
      </c>
      <c r="B7" s="26" t="s">
        <v>2</v>
      </c>
      <c r="C7" s="27" t="s">
        <v>3</v>
      </c>
      <c r="D7" s="28" t="s">
        <v>4</v>
      </c>
      <c r="E7" s="28" t="s">
        <v>5</v>
      </c>
      <c r="F7" s="55" t="s">
        <v>6</v>
      </c>
      <c r="G7" s="56"/>
      <c r="H7" s="28" t="s">
        <v>7</v>
      </c>
      <c r="I7" s="29"/>
    </row>
    <row r="8" spans="1:9" s="30" customFormat="1" ht="25.2" customHeight="1" thickBot="1" x14ac:dyDescent="0.5">
      <c r="A8" s="31">
        <v>2025</v>
      </c>
      <c r="B8" s="32">
        <v>9</v>
      </c>
      <c r="C8" s="33">
        <v>45901</v>
      </c>
      <c r="D8" s="34" t="s">
        <v>4</v>
      </c>
      <c r="E8" s="35">
        <v>45930</v>
      </c>
      <c r="F8" s="53"/>
      <c r="G8" s="54"/>
      <c r="H8" s="46"/>
      <c r="I8" s="29"/>
    </row>
    <row r="9" spans="1:9" ht="18.600000000000001" thickBot="1" x14ac:dyDescent="0.5"/>
    <row r="10" spans="1:9" s="30" customFormat="1" ht="36" customHeight="1" thickBot="1" x14ac:dyDescent="0.5">
      <c r="A10" s="51" t="s">
        <v>9</v>
      </c>
      <c r="B10" s="52"/>
      <c r="C10" s="36">
        <f>COUNT(G13:G43)</f>
        <v>0</v>
      </c>
      <c r="D10" s="37" t="s">
        <v>17</v>
      </c>
      <c r="E10" s="38" t="s">
        <v>8</v>
      </c>
      <c r="F10" s="39">
        <f>SUM(F13:F43)</f>
        <v>0</v>
      </c>
      <c r="G10" s="40" t="s">
        <v>18</v>
      </c>
      <c r="H10" s="41"/>
    </row>
    <row r="11" spans="1:9" ht="18.600000000000001" thickBot="1" x14ac:dyDescent="0.5"/>
    <row r="12" spans="1:9" ht="18" customHeight="1" x14ac:dyDescent="0.45">
      <c r="A12" s="42" t="s">
        <v>10</v>
      </c>
      <c r="B12" s="43" t="s">
        <v>11</v>
      </c>
      <c r="C12" s="22" t="s">
        <v>28</v>
      </c>
      <c r="D12" s="23"/>
      <c r="E12" s="44" t="s">
        <v>12</v>
      </c>
      <c r="F12" s="43" t="s">
        <v>14</v>
      </c>
      <c r="G12" s="43" t="s">
        <v>13</v>
      </c>
      <c r="H12" s="45" t="s">
        <v>15</v>
      </c>
    </row>
    <row r="13" spans="1:9" ht="18" customHeight="1" x14ac:dyDescent="0.45">
      <c r="A13" s="6">
        <f>C8</f>
        <v>45901</v>
      </c>
      <c r="B13" s="7">
        <f>C8</f>
        <v>45901</v>
      </c>
      <c r="C13" s="14"/>
      <c r="D13" s="18" t="s">
        <v>4</v>
      </c>
      <c r="E13" s="16"/>
      <c r="F13" s="8">
        <f>E13-C13</f>
        <v>0</v>
      </c>
      <c r="G13" s="9"/>
      <c r="H13" s="19" t="str">
        <f>IFERROR(F13/G13,"")</f>
        <v/>
      </c>
    </row>
    <row r="14" spans="1:9" ht="18" customHeight="1" x14ac:dyDescent="0.45">
      <c r="A14" s="6">
        <f>IF(A13&gt;=$E$8,"",A13+1)</f>
        <v>45902</v>
      </c>
      <c r="B14" s="7">
        <f>IF(B13&gt;=$E$8,"",B13+1)</f>
        <v>45902</v>
      </c>
      <c r="C14" s="14"/>
      <c r="D14" s="18" t="s">
        <v>4</v>
      </c>
      <c r="E14" s="16"/>
      <c r="F14" s="8">
        <f t="shared" ref="F14:F43" si="0">E14-C14</f>
        <v>0</v>
      </c>
      <c r="G14" s="9"/>
      <c r="H14" s="19" t="str">
        <f>IFERROR(F14/G14,"")</f>
        <v/>
      </c>
    </row>
    <row r="15" spans="1:9" ht="18" customHeight="1" x14ac:dyDescent="0.45">
      <c r="A15" s="6">
        <f t="shared" ref="A15:B30" si="1">IF(A14&gt;=$E$8,"",A14+1)</f>
        <v>45903</v>
      </c>
      <c r="B15" s="7">
        <f t="shared" si="1"/>
        <v>45903</v>
      </c>
      <c r="C15" s="14"/>
      <c r="D15" s="18" t="s">
        <v>4</v>
      </c>
      <c r="E15" s="16"/>
      <c r="F15" s="8">
        <f t="shared" si="0"/>
        <v>0</v>
      </c>
      <c r="G15" s="9"/>
      <c r="H15" s="19" t="str">
        <f t="shared" ref="H15:H43" si="2">IFERROR(F15/G15,"")</f>
        <v/>
      </c>
    </row>
    <row r="16" spans="1:9" ht="18" customHeight="1" x14ac:dyDescent="0.45">
      <c r="A16" s="6">
        <f t="shared" si="1"/>
        <v>45904</v>
      </c>
      <c r="B16" s="7">
        <f t="shared" si="1"/>
        <v>45904</v>
      </c>
      <c r="C16" s="14"/>
      <c r="D16" s="18" t="s">
        <v>4</v>
      </c>
      <c r="E16" s="16"/>
      <c r="F16" s="8">
        <f t="shared" si="0"/>
        <v>0</v>
      </c>
      <c r="G16" s="9"/>
      <c r="H16" s="19" t="str">
        <f t="shared" si="2"/>
        <v/>
      </c>
    </row>
    <row r="17" spans="1:10" ht="18" customHeight="1" x14ac:dyDescent="0.45">
      <c r="A17" s="6">
        <f t="shared" si="1"/>
        <v>45905</v>
      </c>
      <c r="B17" s="7">
        <f t="shared" si="1"/>
        <v>45905</v>
      </c>
      <c r="C17" s="14"/>
      <c r="D17" s="18" t="s">
        <v>4</v>
      </c>
      <c r="E17" s="16"/>
      <c r="F17" s="8">
        <f t="shared" si="0"/>
        <v>0</v>
      </c>
      <c r="G17" s="9"/>
      <c r="H17" s="19" t="str">
        <f t="shared" si="2"/>
        <v/>
      </c>
    </row>
    <row r="18" spans="1:10" ht="18" customHeight="1" x14ac:dyDescent="0.45">
      <c r="A18" s="6">
        <f t="shared" si="1"/>
        <v>45906</v>
      </c>
      <c r="B18" s="7">
        <f t="shared" si="1"/>
        <v>45906</v>
      </c>
      <c r="C18" s="14"/>
      <c r="D18" s="18" t="s">
        <v>4</v>
      </c>
      <c r="E18" s="16"/>
      <c r="F18" s="8">
        <f t="shared" si="0"/>
        <v>0</v>
      </c>
      <c r="G18" s="9"/>
      <c r="H18" s="19" t="str">
        <f t="shared" si="2"/>
        <v/>
      </c>
    </row>
    <row r="19" spans="1:10" ht="18" customHeight="1" x14ac:dyDescent="0.45">
      <c r="A19" s="6">
        <f t="shared" si="1"/>
        <v>45907</v>
      </c>
      <c r="B19" s="7">
        <f t="shared" si="1"/>
        <v>45907</v>
      </c>
      <c r="C19" s="14"/>
      <c r="D19" s="18" t="s">
        <v>4</v>
      </c>
      <c r="E19" s="16"/>
      <c r="F19" s="8">
        <f t="shared" si="0"/>
        <v>0</v>
      </c>
      <c r="G19" s="9"/>
      <c r="H19" s="19" t="str">
        <f t="shared" si="2"/>
        <v/>
      </c>
    </row>
    <row r="20" spans="1:10" ht="18" customHeight="1" x14ac:dyDescent="0.45">
      <c r="A20" s="6">
        <f t="shared" si="1"/>
        <v>45908</v>
      </c>
      <c r="B20" s="7">
        <f t="shared" si="1"/>
        <v>45908</v>
      </c>
      <c r="C20" s="14"/>
      <c r="D20" s="18" t="s">
        <v>4</v>
      </c>
      <c r="E20" s="16"/>
      <c r="F20" s="8">
        <f t="shared" si="0"/>
        <v>0</v>
      </c>
      <c r="G20" s="9"/>
      <c r="H20" s="19" t="str">
        <f t="shared" si="2"/>
        <v/>
      </c>
    </row>
    <row r="21" spans="1:10" ht="18" customHeight="1" x14ac:dyDescent="0.45">
      <c r="A21" s="6">
        <f t="shared" si="1"/>
        <v>45909</v>
      </c>
      <c r="B21" s="7">
        <f t="shared" si="1"/>
        <v>45909</v>
      </c>
      <c r="C21" s="14"/>
      <c r="D21" s="18" t="s">
        <v>4</v>
      </c>
      <c r="E21" s="16"/>
      <c r="F21" s="8">
        <f t="shared" si="0"/>
        <v>0</v>
      </c>
      <c r="G21" s="9"/>
      <c r="H21" s="19" t="str">
        <f t="shared" si="2"/>
        <v/>
      </c>
    </row>
    <row r="22" spans="1:10" ht="18" customHeight="1" x14ac:dyDescent="0.45">
      <c r="A22" s="6">
        <f t="shared" si="1"/>
        <v>45910</v>
      </c>
      <c r="B22" s="7">
        <f t="shared" si="1"/>
        <v>45910</v>
      </c>
      <c r="C22" s="14"/>
      <c r="D22" s="18" t="s">
        <v>4</v>
      </c>
      <c r="E22" s="16"/>
      <c r="F22" s="8">
        <f t="shared" si="0"/>
        <v>0</v>
      </c>
      <c r="G22" s="9"/>
      <c r="H22" s="19" t="str">
        <f t="shared" si="2"/>
        <v/>
      </c>
    </row>
    <row r="23" spans="1:10" ht="18" customHeight="1" x14ac:dyDescent="0.45">
      <c r="A23" s="6">
        <f t="shared" si="1"/>
        <v>45911</v>
      </c>
      <c r="B23" s="7">
        <f t="shared" si="1"/>
        <v>45911</v>
      </c>
      <c r="C23" s="14"/>
      <c r="D23" s="18" t="s">
        <v>4</v>
      </c>
      <c r="E23" s="16"/>
      <c r="F23" s="8">
        <f t="shared" si="0"/>
        <v>0</v>
      </c>
      <c r="G23" s="9"/>
      <c r="H23" s="19" t="str">
        <f t="shared" si="2"/>
        <v/>
      </c>
      <c r="J23" s="4"/>
    </row>
    <row r="24" spans="1:10" ht="18" customHeight="1" x14ac:dyDescent="0.45">
      <c r="A24" s="6">
        <f t="shared" si="1"/>
        <v>45912</v>
      </c>
      <c r="B24" s="7">
        <f t="shared" si="1"/>
        <v>45912</v>
      </c>
      <c r="C24" s="14"/>
      <c r="D24" s="18" t="s">
        <v>4</v>
      </c>
      <c r="E24" s="16"/>
      <c r="F24" s="8">
        <f t="shared" si="0"/>
        <v>0</v>
      </c>
      <c r="G24" s="9"/>
      <c r="H24" s="19" t="str">
        <f t="shared" si="2"/>
        <v/>
      </c>
    </row>
    <row r="25" spans="1:10" ht="18" customHeight="1" x14ac:dyDescent="0.45">
      <c r="A25" s="6">
        <f t="shared" si="1"/>
        <v>45913</v>
      </c>
      <c r="B25" s="7">
        <f t="shared" si="1"/>
        <v>45913</v>
      </c>
      <c r="C25" s="14"/>
      <c r="D25" s="18" t="s">
        <v>4</v>
      </c>
      <c r="E25" s="16"/>
      <c r="F25" s="8">
        <f t="shared" si="0"/>
        <v>0</v>
      </c>
      <c r="G25" s="9"/>
      <c r="H25" s="19" t="str">
        <f t="shared" si="2"/>
        <v/>
      </c>
    </row>
    <row r="26" spans="1:10" ht="18" customHeight="1" x14ac:dyDescent="0.45">
      <c r="A26" s="6">
        <f t="shared" si="1"/>
        <v>45914</v>
      </c>
      <c r="B26" s="7">
        <f t="shared" si="1"/>
        <v>45914</v>
      </c>
      <c r="C26" s="14"/>
      <c r="D26" s="18" t="s">
        <v>4</v>
      </c>
      <c r="E26" s="16"/>
      <c r="F26" s="8">
        <f t="shared" si="0"/>
        <v>0</v>
      </c>
      <c r="G26" s="9"/>
      <c r="H26" s="19" t="str">
        <f t="shared" si="2"/>
        <v/>
      </c>
    </row>
    <row r="27" spans="1:10" ht="18" customHeight="1" x14ac:dyDescent="0.45">
      <c r="A27" s="6">
        <f t="shared" si="1"/>
        <v>45915</v>
      </c>
      <c r="B27" s="7">
        <f t="shared" si="1"/>
        <v>45915</v>
      </c>
      <c r="C27" s="14"/>
      <c r="D27" s="18" t="s">
        <v>4</v>
      </c>
      <c r="E27" s="16"/>
      <c r="F27" s="8">
        <f t="shared" si="0"/>
        <v>0</v>
      </c>
      <c r="G27" s="9"/>
      <c r="H27" s="19" t="str">
        <f t="shared" si="2"/>
        <v/>
      </c>
    </row>
    <row r="28" spans="1:10" ht="18" customHeight="1" x14ac:dyDescent="0.45">
      <c r="A28" s="6">
        <f t="shared" si="1"/>
        <v>45916</v>
      </c>
      <c r="B28" s="7">
        <f t="shared" si="1"/>
        <v>45916</v>
      </c>
      <c r="C28" s="14"/>
      <c r="D28" s="18" t="s">
        <v>4</v>
      </c>
      <c r="E28" s="16"/>
      <c r="F28" s="8">
        <f t="shared" si="0"/>
        <v>0</v>
      </c>
      <c r="G28" s="9"/>
      <c r="H28" s="19" t="str">
        <f t="shared" si="2"/>
        <v/>
      </c>
    </row>
    <row r="29" spans="1:10" ht="18" customHeight="1" x14ac:dyDescent="0.45">
      <c r="A29" s="6">
        <f t="shared" si="1"/>
        <v>45917</v>
      </c>
      <c r="B29" s="7">
        <f t="shared" si="1"/>
        <v>45917</v>
      </c>
      <c r="C29" s="14"/>
      <c r="D29" s="18" t="s">
        <v>4</v>
      </c>
      <c r="E29" s="16"/>
      <c r="F29" s="8">
        <f t="shared" si="0"/>
        <v>0</v>
      </c>
      <c r="G29" s="9"/>
      <c r="H29" s="19" t="str">
        <f t="shared" si="2"/>
        <v/>
      </c>
    </row>
    <row r="30" spans="1:10" ht="18" customHeight="1" x14ac:dyDescent="0.45">
      <c r="A30" s="6">
        <f t="shared" si="1"/>
        <v>45918</v>
      </c>
      <c r="B30" s="7">
        <f t="shared" si="1"/>
        <v>45918</v>
      </c>
      <c r="C30" s="14"/>
      <c r="D30" s="18" t="s">
        <v>4</v>
      </c>
      <c r="E30" s="16"/>
      <c r="F30" s="8">
        <f t="shared" si="0"/>
        <v>0</v>
      </c>
      <c r="G30" s="9"/>
      <c r="H30" s="19" t="str">
        <f t="shared" si="2"/>
        <v/>
      </c>
    </row>
    <row r="31" spans="1:10" ht="18" customHeight="1" x14ac:dyDescent="0.45">
      <c r="A31" s="6">
        <f t="shared" ref="A31:B43" si="3">IF(A30&gt;=$E$8,"",A30+1)</f>
        <v>45919</v>
      </c>
      <c r="B31" s="7">
        <f t="shared" si="3"/>
        <v>45919</v>
      </c>
      <c r="C31" s="14"/>
      <c r="D31" s="18" t="s">
        <v>4</v>
      </c>
      <c r="E31" s="16"/>
      <c r="F31" s="8">
        <f t="shared" si="0"/>
        <v>0</v>
      </c>
      <c r="G31" s="9"/>
      <c r="H31" s="19" t="str">
        <f t="shared" si="2"/>
        <v/>
      </c>
    </row>
    <row r="32" spans="1:10" ht="18" customHeight="1" x14ac:dyDescent="0.45">
      <c r="A32" s="6">
        <f t="shared" si="3"/>
        <v>45920</v>
      </c>
      <c r="B32" s="7">
        <f t="shared" si="3"/>
        <v>45920</v>
      </c>
      <c r="C32" s="14"/>
      <c r="D32" s="18" t="s">
        <v>4</v>
      </c>
      <c r="E32" s="16"/>
      <c r="F32" s="8">
        <f t="shared" si="0"/>
        <v>0</v>
      </c>
      <c r="G32" s="9"/>
      <c r="H32" s="19" t="str">
        <f t="shared" si="2"/>
        <v/>
      </c>
    </row>
    <row r="33" spans="1:8" ht="18" customHeight="1" x14ac:dyDescent="0.45">
      <c r="A33" s="6">
        <f t="shared" si="3"/>
        <v>45921</v>
      </c>
      <c r="B33" s="7">
        <f t="shared" si="3"/>
        <v>45921</v>
      </c>
      <c r="C33" s="14"/>
      <c r="D33" s="18" t="s">
        <v>4</v>
      </c>
      <c r="E33" s="16"/>
      <c r="F33" s="8">
        <f t="shared" si="0"/>
        <v>0</v>
      </c>
      <c r="G33" s="9"/>
      <c r="H33" s="19" t="str">
        <f t="shared" si="2"/>
        <v/>
      </c>
    </row>
    <row r="34" spans="1:8" ht="18" customHeight="1" x14ac:dyDescent="0.45">
      <c r="A34" s="6">
        <f t="shared" si="3"/>
        <v>45922</v>
      </c>
      <c r="B34" s="7">
        <f t="shared" si="3"/>
        <v>45922</v>
      </c>
      <c r="C34" s="14"/>
      <c r="D34" s="18" t="s">
        <v>4</v>
      </c>
      <c r="E34" s="16"/>
      <c r="F34" s="8">
        <f t="shared" si="0"/>
        <v>0</v>
      </c>
      <c r="G34" s="9"/>
      <c r="H34" s="19" t="str">
        <f t="shared" si="2"/>
        <v/>
      </c>
    </row>
    <row r="35" spans="1:8" ht="18" customHeight="1" x14ac:dyDescent="0.45">
      <c r="A35" s="6">
        <f t="shared" si="3"/>
        <v>45923</v>
      </c>
      <c r="B35" s="7">
        <f t="shared" si="3"/>
        <v>45923</v>
      </c>
      <c r="C35" s="14"/>
      <c r="D35" s="18" t="s">
        <v>4</v>
      </c>
      <c r="E35" s="16"/>
      <c r="F35" s="8">
        <f t="shared" si="0"/>
        <v>0</v>
      </c>
      <c r="G35" s="9"/>
      <c r="H35" s="19" t="str">
        <f t="shared" si="2"/>
        <v/>
      </c>
    </row>
    <row r="36" spans="1:8" ht="18" customHeight="1" x14ac:dyDescent="0.45">
      <c r="A36" s="6">
        <f t="shared" si="3"/>
        <v>45924</v>
      </c>
      <c r="B36" s="7">
        <f t="shared" si="3"/>
        <v>45924</v>
      </c>
      <c r="C36" s="14"/>
      <c r="D36" s="18" t="s">
        <v>4</v>
      </c>
      <c r="E36" s="16"/>
      <c r="F36" s="8">
        <f t="shared" si="0"/>
        <v>0</v>
      </c>
      <c r="G36" s="9"/>
      <c r="H36" s="19" t="str">
        <f t="shared" si="2"/>
        <v/>
      </c>
    </row>
    <row r="37" spans="1:8" ht="18" customHeight="1" x14ac:dyDescent="0.45">
      <c r="A37" s="6">
        <f t="shared" si="3"/>
        <v>45925</v>
      </c>
      <c r="B37" s="7">
        <f t="shared" si="3"/>
        <v>45925</v>
      </c>
      <c r="C37" s="14"/>
      <c r="D37" s="18" t="s">
        <v>4</v>
      </c>
      <c r="E37" s="16"/>
      <c r="F37" s="8">
        <f t="shared" si="0"/>
        <v>0</v>
      </c>
      <c r="G37" s="9"/>
      <c r="H37" s="19" t="str">
        <f t="shared" si="2"/>
        <v/>
      </c>
    </row>
    <row r="38" spans="1:8" ht="18" customHeight="1" x14ac:dyDescent="0.45">
      <c r="A38" s="6">
        <f t="shared" si="3"/>
        <v>45926</v>
      </c>
      <c r="B38" s="7">
        <f t="shared" si="3"/>
        <v>45926</v>
      </c>
      <c r="C38" s="14"/>
      <c r="D38" s="18" t="s">
        <v>4</v>
      </c>
      <c r="E38" s="16"/>
      <c r="F38" s="8">
        <f t="shared" si="0"/>
        <v>0</v>
      </c>
      <c r="G38" s="9"/>
      <c r="H38" s="19" t="str">
        <f t="shared" si="2"/>
        <v/>
      </c>
    </row>
    <row r="39" spans="1:8" ht="18" customHeight="1" x14ac:dyDescent="0.45">
      <c r="A39" s="6">
        <f t="shared" si="3"/>
        <v>45927</v>
      </c>
      <c r="B39" s="7">
        <f t="shared" si="3"/>
        <v>45927</v>
      </c>
      <c r="C39" s="14"/>
      <c r="D39" s="18" t="s">
        <v>4</v>
      </c>
      <c r="E39" s="16"/>
      <c r="F39" s="8">
        <f t="shared" si="0"/>
        <v>0</v>
      </c>
      <c r="G39" s="9"/>
      <c r="H39" s="19" t="str">
        <f t="shared" si="2"/>
        <v/>
      </c>
    </row>
    <row r="40" spans="1:8" ht="18" customHeight="1" x14ac:dyDescent="0.45">
      <c r="A40" s="6">
        <f t="shared" si="3"/>
        <v>45928</v>
      </c>
      <c r="B40" s="7">
        <f t="shared" si="3"/>
        <v>45928</v>
      </c>
      <c r="C40" s="14"/>
      <c r="D40" s="18" t="s">
        <v>4</v>
      </c>
      <c r="E40" s="16"/>
      <c r="F40" s="8">
        <f t="shared" si="0"/>
        <v>0</v>
      </c>
      <c r="G40" s="9"/>
      <c r="H40" s="19" t="str">
        <f t="shared" si="2"/>
        <v/>
      </c>
    </row>
    <row r="41" spans="1:8" ht="18" customHeight="1" x14ac:dyDescent="0.45">
      <c r="A41" s="6">
        <f t="shared" si="3"/>
        <v>45929</v>
      </c>
      <c r="B41" s="7">
        <f t="shared" si="3"/>
        <v>45929</v>
      </c>
      <c r="C41" s="14"/>
      <c r="D41" s="18" t="s">
        <v>4</v>
      </c>
      <c r="E41" s="16"/>
      <c r="F41" s="8">
        <f t="shared" si="0"/>
        <v>0</v>
      </c>
      <c r="G41" s="9"/>
      <c r="H41" s="19" t="str">
        <f t="shared" si="2"/>
        <v/>
      </c>
    </row>
    <row r="42" spans="1:8" ht="18" customHeight="1" x14ac:dyDescent="0.45">
      <c r="A42" s="6">
        <f>IF(A41&gt;=$E$8,"",A41+1)</f>
        <v>45930</v>
      </c>
      <c r="B42" s="7">
        <f t="shared" si="3"/>
        <v>45930</v>
      </c>
      <c r="C42" s="14"/>
      <c r="D42" s="18" t="s">
        <v>4</v>
      </c>
      <c r="E42" s="16"/>
      <c r="F42" s="8">
        <f t="shared" si="0"/>
        <v>0</v>
      </c>
      <c r="G42" s="9"/>
      <c r="H42" s="19" t="str">
        <f t="shared" si="2"/>
        <v/>
      </c>
    </row>
    <row r="43" spans="1:8" ht="18" customHeight="1" thickBot="1" x14ac:dyDescent="0.5">
      <c r="A43" s="10" t="str">
        <f t="shared" si="3"/>
        <v/>
      </c>
      <c r="B43" s="11" t="str">
        <f t="shared" si="3"/>
        <v/>
      </c>
      <c r="C43" s="15"/>
      <c r="D43" s="5" t="s">
        <v>4</v>
      </c>
      <c r="E43" s="17"/>
      <c r="F43" s="12">
        <f t="shared" si="0"/>
        <v>0</v>
      </c>
      <c r="G43" s="13"/>
      <c r="H43" s="20" t="str">
        <f t="shared" si="2"/>
        <v/>
      </c>
    </row>
    <row r="44" spans="1:8" ht="24" customHeight="1" x14ac:dyDescent="0.45">
      <c r="A44" s="2"/>
    </row>
    <row r="45" spans="1:8" x14ac:dyDescent="0.45">
      <c r="A45" s="2"/>
    </row>
    <row r="46" spans="1:8" x14ac:dyDescent="0.45">
      <c r="A46" s="2"/>
    </row>
    <row r="47" spans="1:8" x14ac:dyDescent="0.45">
      <c r="A47" s="2"/>
    </row>
    <row r="48" spans="1:8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</sheetData>
  <mergeCells count="4">
    <mergeCell ref="F7:G7"/>
    <mergeCell ref="F8:G8"/>
    <mergeCell ref="A10:B10"/>
    <mergeCell ref="A6:C6"/>
  </mergeCells>
  <phoneticPr fontId="1"/>
  <conditionalFormatting sqref="C13:C43">
    <cfRule type="cellIs" dxfId="2" priority="3" operator="equal">
      <formula>0</formula>
    </cfRule>
  </conditionalFormatting>
  <conditionalFormatting sqref="F13:F43">
    <cfRule type="cellIs" dxfId="1" priority="1" operator="equal">
      <formula>0</formula>
    </cfRule>
    <cfRule type="expression" dxfId="0" priority="2">
      <formula>F13&lt;0</formula>
    </cfRule>
  </conditionalFormatting>
  <pageMargins left="0" right="0" top="0" bottom="0" header="0" footer="0"/>
  <pageSetup paperSize="9" scale="9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9BBBC2-F672-4887-8C59-C02F80526D6F}">
          <x14:formula1>
            <xm:f>拠点一覧!$A$2:$A$8</xm:f>
          </x14:formula1>
          <xm:sqref>H8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B087-C4B1-44B0-A701-463CE36F9EEB}">
  <dimension ref="A1:A8"/>
  <sheetViews>
    <sheetView workbookViewId="0">
      <selection activeCell="B14" sqref="B14"/>
    </sheetView>
  </sheetViews>
  <sheetFormatPr defaultRowHeight="18" x14ac:dyDescent="0.45"/>
  <cols>
    <col min="1" max="1" width="21.19921875" bestFit="1" customWidth="1"/>
  </cols>
  <sheetData>
    <row r="1" spans="1:1" x14ac:dyDescent="0.45">
      <c r="A1" s="21" t="s">
        <v>19</v>
      </c>
    </row>
    <row r="2" spans="1:1" x14ac:dyDescent="0.45">
      <c r="A2" s="21" t="s">
        <v>20</v>
      </c>
    </row>
    <row r="3" spans="1:1" x14ac:dyDescent="0.45">
      <c r="A3" s="21" t="s">
        <v>21</v>
      </c>
    </row>
    <row r="4" spans="1:1" x14ac:dyDescent="0.45">
      <c r="A4" s="21" t="s">
        <v>22</v>
      </c>
    </row>
    <row r="5" spans="1:1" x14ac:dyDescent="0.45">
      <c r="A5" s="21" t="s">
        <v>23</v>
      </c>
    </row>
    <row r="6" spans="1:1" x14ac:dyDescent="0.45">
      <c r="A6" s="21" t="s">
        <v>24</v>
      </c>
    </row>
    <row r="7" spans="1:1" x14ac:dyDescent="0.45">
      <c r="A7" s="21" t="s">
        <v>25</v>
      </c>
    </row>
    <row r="8" spans="1:1" x14ac:dyDescent="0.45">
      <c r="A8" s="21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【見本】使用報告書</vt:lpstr>
      <vt:lpstr>【原本】使用報告書</vt:lpstr>
      <vt:lpstr>拠点一覧</vt:lpstr>
      <vt:lpstr>【見本】使用報告書!Print_Area</vt:lpstr>
      <vt:lpstr>【原本】使用報告書!Print_Area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　レミ</dc:creator>
  <cp:lastModifiedBy>小野　レミ</cp:lastModifiedBy>
  <cp:lastPrinted>2025-09-16T08:26:51Z</cp:lastPrinted>
  <dcterms:created xsi:type="dcterms:W3CDTF">2025-09-11T08:12:34Z</dcterms:created>
  <dcterms:modified xsi:type="dcterms:W3CDTF">2025-09-18T02:43:31Z</dcterms:modified>
</cp:coreProperties>
</file>
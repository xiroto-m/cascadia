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LS520DCD5\data\総務関係\10.各種テンプレート\出張・経費精算書\"/>
    </mc:Choice>
  </mc:AlternateContent>
  <xr:revisionPtr revIDLastSave="0" documentId="13_ncr:1_{5B2935E5-849F-4691-B2E8-4D8ECA33B622}" xr6:coauthVersionLast="47" xr6:coauthVersionMax="47" xr10:uidLastSave="{00000000-0000-0000-0000-000000000000}"/>
  <bookViews>
    <workbookView xWindow="28680" yWindow="-120" windowWidth="29040" windowHeight="15720" xr2:uid="{35252A24-F853-4D2E-A9F8-D9D19F6B2D54}"/>
  </bookViews>
  <sheets>
    <sheet name="私有車実績報告書【原本】" sheetId="1" r:id="rId1"/>
    <sheet name="私有車実績報告書【記入例2024.9～】" sheetId="3" r:id="rId2"/>
    <sheet name="私有車実績報告書【記入例】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D6" i="1" l="1" a="1"/>
  <c r="D6" i="1" s="1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D6" i="3" s="1" a="1"/>
  <c r="D6" i="3" s="1"/>
  <c r="C10" i="3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B10" i="3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F4" i="3"/>
  <c r="E4" i="3"/>
  <c r="D4" i="3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10" i="1"/>
  <c r="H6" i="3" l="1"/>
  <c r="N6" i="3" s="1"/>
  <c r="H6" i="1"/>
  <c r="H6" i="2"/>
  <c r="L6" i="2" s="1"/>
  <c r="D6" i="2"/>
  <c r="F4" i="2"/>
  <c r="D4" i="2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E4" i="2" l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F4" i="1"/>
  <c r="D4" i="1"/>
  <c r="B10" i="1" l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C10" i="1"/>
  <c r="C11" i="1" s="1"/>
  <c r="C12" i="1" s="1"/>
  <c r="C13" i="1" s="1"/>
  <c r="E4" i="1"/>
  <c r="C14" i="1" l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<sst xmlns="http://schemas.openxmlformats.org/spreadsheetml/2006/main" count="155" uniqueCount="47">
  <si>
    <t>年度</t>
    <rPh sb="0" eb="2">
      <t>ネンド</t>
    </rPh>
    <phoneticPr fontId="4"/>
  </si>
  <si>
    <t>月度</t>
    <rPh sb="0" eb="1">
      <t>ゲツ</t>
    </rPh>
    <rPh sb="1" eb="2">
      <t>ド</t>
    </rPh>
    <phoneticPr fontId="4"/>
  </si>
  <si>
    <t>開始日</t>
    <rPh sb="0" eb="3">
      <t>カイシビ</t>
    </rPh>
    <phoneticPr fontId="4"/>
  </si>
  <si>
    <t>～</t>
    <phoneticPr fontId="3"/>
  </si>
  <si>
    <t>締め日</t>
    <rPh sb="0" eb="1">
      <t>シ</t>
    </rPh>
    <rPh sb="2" eb="3">
      <t>ビ</t>
    </rPh>
    <phoneticPr fontId="4"/>
  </si>
  <si>
    <t>氏名</t>
    <rPh sb="0" eb="2">
      <t>シメイ</t>
    </rPh>
    <phoneticPr fontId="4"/>
  </si>
  <si>
    <t>日付</t>
    <rPh sb="0" eb="2">
      <t>ヒヅケ</t>
    </rPh>
    <phoneticPr fontId="4"/>
  </si>
  <si>
    <t>オレンジの網かけ部分を入力</t>
    <rPh sb="5" eb="6">
      <t>アミ</t>
    </rPh>
    <rPh sb="8" eb="10">
      <t>ブブン</t>
    </rPh>
    <rPh sb="11" eb="13">
      <t>ニュウリョク</t>
    </rPh>
    <phoneticPr fontId="4"/>
  </si>
  <si>
    <t>私有車実績報告書</t>
    <rPh sb="0" eb="3">
      <t>シユウシャ</t>
    </rPh>
    <rPh sb="3" eb="5">
      <t>ジッセキ</t>
    </rPh>
    <rPh sb="5" eb="8">
      <t>ホウコクショ</t>
    </rPh>
    <phoneticPr fontId="4"/>
  </si>
  <si>
    <t>管轄拠点</t>
    <rPh sb="0" eb="2">
      <t>カンカツ</t>
    </rPh>
    <rPh sb="2" eb="4">
      <t>キョテン</t>
    </rPh>
    <phoneticPr fontId="3"/>
  </si>
  <si>
    <t>曜日</t>
    <rPh sb="0" eb="2">
      <t>ヨウビ</t>
    </rPh>
    <phoneticPr fontId="4"/>
  </si>
  <si>
    <t>行程　各走行距離(km)</t>
    <rPh sb="0" eb="2">
      <t>コウテイ</t>
    </rPh>
    <rPh sb="3" eb="4">
      <t>カク</t>
    </rPh>
    <rPh sb="4" eb="8">
      <t>ソウコウキョリ</t>
    </rPh>
    <phoneticPr fontId="3"/>
  </si>
  <si>
    <t>合計距離(km)</t>
    <rPh sb="0" eb="2">
      <t>ゴウケイ</t>
    </rPh>
    <rPh sb="2" eb="4">
      <t>キョリ</t>
    </rPh>
    <phoneticPr fontId="3"/>
  </si>
  <si>
    <t>車両利用回数</t>
    <rPh sb="0" eb="2">
      <t>シャリョウ</t>
    </rPh>
    <rPh sb="2" eb="4">
      <t>リヨウ</t>
    </rPh>
    <rPh sb="4" eb="6">
      <t>カイスウ</t>
    </rPh>
    <phoneticPr fontId="4"/>
  </si>
  <si>
    <t>回</t>
    <rPh sb="0" eb="1">
      <t>カイ</t>
    </rPh>
    <phoneticPr fontId="3"/>
  </si>
  <si>
    <t>合計距離数(km)</t>
    <rPh sb="0" eb="2">
      <t>ゴウケイ</t>
    </rPh>
    <rPh sb="2" eb="4">
      <t>キョリ</t>
    </rPh>
    <rPh sb="4" eb="5">
      <t>スウ</t>
    </rPh>
    <phoneticPr fontId="3"/>
  </si>
  <si>
    <r>
      <t xml:space="preserve">支給合計金額
</t>
    </r>
    <r>
      <rPr>
        <b/>
        <sz val="10"/>
        <color theme="1"/>
        <rFont val="游ゴシック"/>
        <family val="3"/>
        <charset val="128"/>
        <scheme val="minor"/>
      </rPr>
      <t>(km@15円)</t>
    </r>
    <rPh sb="0" eb="2">
      <t>シキュウ</t>
    </rPh>
    <rPh sb="2" eb="4">
      <t>ゴウケイ</t>
    </rPh>
    <rPh sb="4" eb="6">
      <t>キンガク</t>
    </rPh>
    <rPh sb="13" eb="14">
      <t>エン</t>
    </rPh>
    <phoneticPr fontId="3"/>
  </si>
  <si>
    <t>下記の通り私有車両を業務に使用しましたので、ご報告いたします。</t>
    <phoneticPr fontId="3"/>
  </si>
  <si>
    <t>確認者</t>
    <rPh sb="0" eb="2">
      <t>カクニン</t>
    </rPh>
    <rPh sb="2" eb="3">
      <t>シャ</t>
    </rPh>
    <phoneticPr fontId="3"/>
  </si>
  <si>
    <t>承認者</t>
    <rPh sb="0" eb="3">
      <t>ショウニンシャ</t>
    </rPh>
    <phoneticPr fontId="3"/>
  </si>
  <si>
    <t>髙橋　香織</t>
    <rPh sb="0" eb="2">
      <t>タカハシ</t>
    </rPh>
    <rPh sb="3" eb="5">
      <t>カオリ</t>
    </rPh>
    <phoneticPr fontId="3"/>
  </si>
  <si>
    <t>本社</t>
    <rPh sb="0" eb="2">
      <t>ホンシャ</t>
    </rPh>
    <phoneticPr fontId="3"/>
  </si>
  <si>
    <t>丸吉同行</t>
    <rPh sb="0" eb="2">
      <t>マルヨシ</t>
    </rPh>
    <rPh sb="2" eb="4">
      <t>ドウコウ</t>
    </rPh>
    <phoneticPr fontId="1"/>
  </si>
  <si>
    <t xml:space="preserve">豊川市 太田産業 8.8m / 豊田市 小池牧場 119㎞ </t>
    <rPh sb="0" eb="2">
      <t>トヨカワ</t>
    </rPh>
    <rPh sb="2" eb="3">
      <t>シ</t>
    </rPh>
    <rPh sb="4" eb="6">
      <t>オオタ</t>
    </rPh>
    <rPh sb="6" eb="8">
      <t>サンギョウ</t>
    </rPh>
    <rPh sb="16" eb="18">
      <t>トヨタ</t>
    </rPh>
    <rPh sb="18" eb="19">
      <t>シ</t>
    </rPh>
    <rPh sb="20" eb="22">
      <t>コイケ</t>
    </rPh>
    <rPh sb="22" eb="24">
      <t>ボクジョウ</t>
    </rPh>
    <phoneticPr fontId="1"/>
  </si>
  <si>
    <t>新城市 源氏肥育組合 104㎞</t>
    <rPh sb="0" eb="3">
      <t>シンシロシ</t>
    </rPh>
    <rPh sb="4" eb="6">
      <t>ゲンジ</t>
    </rPh>
    <rPh sb="6" eb="8">
      <t>ヒイク</t>
    </rPh>
    <rPh sb="8" eb="10">
      <t>クミアイ</t>
    </rPh>
    <phoneticPr fontId="1"/>
  </si>
  <si>
    <t>豊橋市 皆晴 1.5㎞ /  豊川市 ㈱たつき 9.1㎞</t>
    <rPh sb="0" eb="3">
      <t>トヨハシシ</t>
    </rPh>
    <rPh sb="4" eb="5">
      <t>ミンナ</t>
    </rPh>
    <rPh sb="5" eb="6">
      <t>ハレ</t>
    </rPh>
    <rPh sb="15" eb="17">
      <t>トヨカワ</t>
    </rPh>
    <rPh sb="17" eb="18">
      <t>シ</t>
    </rPh>
    <phoneticPr fontId="1"/>
  </si>
  <si>
    <t>新城市 作手村 4件 116㎞</t>
    <rPh sb="0" eb="3">
      <t>シンシロシ</t>
    </rPh>
    <rPh sb="4" eb="7">
      <t>ツクデムラ</t>
    </rPh>
    <rPh sb="9" eb="10">
      <t>ケン</t>
    </rPh>
    <phoneticPr fontId="1"/>
  </si>
  <si>
    <t>豊橋市内 県酪豊橋支所、丸吉商店</t>
    <rPh sb="0" eb="3">
      <t>トヨハシシ</t>
    </rPh>
    <rPh sb="3" eb="4">
      <t>ナイ</t>
    </rPh>
    <rPh sb="5" eb="6">
      <t>ケン</t>
    </rPh>
    <rPh sb="6" eb="7">
      <t>ラク</t>
    </rPh>
    <rPh sb="7" eb="9">
      <t>トヨハシ</t>
    </rPh>
    <rPh sb="9" eb="11">
      <t>シショ</t>
    </rPh>
    <rPh sb="12" eb="14">
      <t>マルヨシ</t>
    </rPh>
    <rPh sb="14" eb="16">
      <t>ショウテン</t>
    </rPh>
    <phoneticPr fontId="1"/>
  </si>
  <si>
    <t>岐阜県海津市 毛利作業、川瀬牧場様</t>
    <rPh sb="0" eb="3">
      <t>ギフケン</t>
    </rPh>
    <rPh sb="3" eb="6">
      <t>カイヅシ</t>
    </rPh>
    <rPh sb="7" eb="9">
      <t>モウリ</t>
    </rPh>
    <rPh sb="9" eb="11">
      <t>サギョウ</t>
    </rPh>
    <rPh sb="12" eb="14">
      <t>カワセ</t>
    </rPh>
    <rPh sb="14" eb="16">
      <t>ボクジョウ</t>
    </rPh>
    <rPh sb="16" eb="17">
      <t>サマ</t>
    </rPh>
    <phoneticPr fontId="1"/>
  </si>
  <si>
    <t>静岡県湖西市 飯田牧場、豊橋市仲藤牧場</t>
    <rPh sb="0" eb="2">
      <t>シズオカ</t>
    </rPh>
    <rPh sb="2" eb="3">
      <t>ケン</t>
    </rPh>
    <rPh sb="3" eb="5">
      <t>コサイ</t>
    </rPh>
    <rPh sb="5" eb="6">
      <t>シ</t>
    </rPh>
    <rPh sb="7" eb="9">
      <t>イイダ</t>
    </rPh>
    <rPh sb="9" eb="11">
      <t>ボクジョウ</t>
    </rPh>
    <rPh sb="12" eb="15">
      <t>トヨハシシ</t>
    </rPh>
    <rPh sb="15" eb="17">
      <t>ナカトウ</t>
    </rPh>
    <rPh sb="17" eb="19">
      <t>ボクジョウ</t>
    </rPh>
    <phoneticPr fontId="1"/>
  </si>
  <si>
    <t>〇〇</t>
    <phoneticPr fontId="3"/>
  </si>
  <si>
    <t>源氏肥育組合</t>
    <phoneticPr fontId="3"/>
  </si>
  <si>
    <t>得意先/地域</t>
    <rPh sb="0" eb="3">
      <t>トクイサキ</t>
    </rPh>
    <rPh sb="4" eb="6">
      <t>チイキ</t>
    </rPh>
    <phoneticPr fontId="4"/>
  </si>
  <si>
    <t>愛知県4件</t>
    <rPh sb="0" eb="3">
      <t>アイチケン</t>
    </rPh>
    <rPh sb="4" eb="5">
      <t>ケン</t>
    </rPh>
    <phoneticPr fontId="3"/>
  </si>
  <si>
    <t>愛知県2件</t>
    <rPh sb="0" eb="3">
      <t>アイチケン</t>
    </rPh>
    <rPh sb="4" eb="5">
      <t>ケン</t>
    </rPh>
    <phoneticPr fontId="3"/>
  </si>
  <si>
    <t>岐阜県2件</t>
    <rPh sb="0" eb="3">
      <t>ギフケン</t>
    </rPh>
    <rPh sb="4" eb="5">
      <t>ケン</t>
    </rPh>
    <phoneticPr fontId="3"/>
  </si>
  <si>
    <t>静岡県2件</t>
    <rPh sb="0" eb="2">
      <t>シズオカ</t>
    </rPh>
    <rPh sb="2" eb="3">
      <t>ケン</t>
    </rPh>
    <rPh sb="4" eb="5">
      <t>ケン</t>
    </rPh>
    <phoneticPr fontId="3"/>
  </si>
  <si>
    <t>~</t>
  </si>
  <si>
    <t>~</t>
    <phoneticPr fontId="3"/>
  </si>
  <si>
    <t>降車メーター</t>
    <rPh sb="0" eb="1">
      <t>オ</t>
    </rPh>
    <rPh sb="1" eb="2">
      <t>クルマ</t>
    </rPh>
    <phoneticPr fontId="3"/>
  </si>
  <si>
    <t>乗車時メーター</t>
    <rPh sb="0" eb="2">
      <t>ジョウシャ</t>
    </rPh>
    <rPh sb="2" eb="3">
      <t>ジ</t>
    </rPh>
    <phoneticPr fontId="3"/>
  </si>
  <si>
    <t>小野　レミ</t>
    <rPh sb="0" eb="2">
      <t>オノ</t>
    </rPh>
    <phoneticPr fontId="3"/>
  </si>
  <si>
    <t>レンタカー</t>
    <phoneticPr fontId="3"/>
  </si>
  <si>
    <t>新城市 作手村 4件 116㎞</t>
    <phoneticPr fontId="3"/>
  </si>
  <si>
    <t>豊橋市内 県酪豊橋支所、丸吉商店</t>
    <phoneticPr fontId="3"/>
  </si>
  <si>
    <t>岐阜県海津市 毛利作業、川瀬牧場様</t>
    <phoneticPr fontId="3"/>
  </si>
  <si>
    <t>静岡県湖西市 飯田牧場、豊橋市仲藤牧場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</si>
</sst>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h:mm;@"/>
    <numFmt numFmtId="177" formatCode="0&quot;km&quot;"/>
    <numFmt numFmtId="178" formatCode="\(aaa\)"/>
    <numFmt numFmtId="179" formatCode="d&quot;日&quot;"/>
    <numFmt numFmtId="180" formatCode="0_ "/>
    <numFmt numFmtId="181" formatCode="#,##0&quot;km&quot;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76" fontId="0" fillId="2" borderId="17" xfId="0" applyNumberForma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9" fontId="0" fillId="0" borderId="22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6" fontId="0" fillId="0" borderId="28" xfId="1" applyFont="1" applyBorder="1" applyAlignment="1">
      <alignment vertical="center"/>
    </xf>
    <xf numFmtId="180" fontId="8" fillId="0" borderId="27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14" xfId="0" applyNumberFormat="1" applyFill="1" applyBorder="1" applyAlignment="1">
      <alignment horizontal="left" vertical="center"/>
    </xf>
    <xf numFmtId="181" fontId="0" fillId="2" borderId="14" xfId="0" applyNumberFormat="1" applyFill="1" applyBorder="1" applyAlignment="1">
      <alignment horizontal="center" vertical="center" shrinkToFit="1"/>
    </xf>
    <xf numFmtId="181" fontId="0" fillId="2" borderId="13" xfId="0" applyNumberFormat="1" applyFill="1" applyBorder="1" applyAlignment="1">
      <alignment horizontal="center" vertical="center" shrinkToFit="1"/>
    </xf>
    <xf numFmtId="0" fontId="0" fillId="2" borderId="17" xfId="0" applyFill="1" applyBorder="1">
      <alignment vertical="center"/>
    </xf>
    <xf numFmtId="0" fontId="0" fillId="2" borderId="10" xfId="0" applyFill="1" applyBorder="1">
      <alignment vertical="center"/>
    </xf>
    <xf numFmtId="0" fontId="0" fillId="0" borderId="30" xfId="0" applyBorder="1">
      <alignment vertical="center"/>
    </xf>
    <xf numFmtId="0" fontId="0" fillId="3" borderId="4" xfId="0" applyFill="1" applyBorder="1">
      <alignment vertical="center"/>
    </xf>
    <xf numFmtId="181" fontId="0" fillId="2" borderId="9" xfId="0" applyNumberFormat="1" applyFill="1" applyBorder="1" applyAlignment="1">
      <alignment horizontal="center" vertical="center" shrinkToFit="1"/>
    </xf>
    <xf numFmtId="181" fontId="0" fillId="2" borderId="11" xfId="0" applyNumberFormat="1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/>
    </xf>
    <xf numFmtId="0" fontId="0" fillId="3" borderId="28" xfId="0" applyFill="1" applyBorder="1">
      <alignment vertical="center"/>
    </xf>
    <xf numFmtId="177" fontId="0" fillId="0" borderId="31" xfId="0" applyNumberFormat="1" applyBorder="1" applyAlignment="1">
      <alignment horizontal="right" vertical="center" indent="1"/>
    </xf>
    <xf numFmtId="177" fontId="0" fillId="0" borderId="32" xfId="0" applyNumberFormat="1" applyBorder="1" applyAlignment="1">
      <alignment horizontal="right" vertical="center" indent="1"/>
    </xf>
    <xf numFmtId="0" fontId="0" fillId="3" borderId="3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0" fillId="0" borderId="14" xfId="0" applyNumberFormat="1" applyBorder="1" applyAlignment="1">
      <alignment horizontal="right" vertical="center" indent="1"/>
    </xf>
    <xf numFmtId="177" fontId="0" fillId="0" borderId="18" xfId="0" applyNumberFormat="1" applyBorder="1" applyAlignment="1">
      <alignment horizontal="right" vertical="center" indent="1"/>
    </xf>
    <xf numFmtId="0" fontId="0" fillId="2" borderId="14" xfId="0" applyFill="1" applyBorder="1" applyAlignment="1">
      <alignment horizontal="left" vertical="center" shrinkToFit="1"/>
    </xf>
    <xf numFmtId="0" fontId="0" fillId="2" borderId="17" xfId="0" applyFill="1" applyBorder="1" applyAlignment="1">
      <alignment horizontal="left" vertical="center" shrinkToFit="1"/>
    </xf>
    <xf numFmtId="0" fontId="0" fillId="2" borderId="13" xfId="0" applyFill="1" applyBorder="1" applyAlignment="1">
      <alignment horizontal="left" vertical="center" shrinkToFit="1"/>
    </xf>
    <xf numFmtId="0" fontId="0" fillId="2" borderId="9" xfId="0" applyFill="1" applyBorder="1" applyAlignment="1">
      <alignment horizontal="left" vertical="center" shrinkToFit="1"/>
    </xf>
    <xf numFmtId="0" fontId="0" fillId="2" borderId="10" xfId="0" applyFill="1" applyBorder="1" applyAlignment="1">
      <alignment horizontal="left" vertical="center" shrinkToFit="1"/>
    </xf>
    <xf numFmtId="0" fontId="0" fillId="2" borderId="11" xfId="0" applyFill="1" applyBorder="1" applyAlignment="1">
      <alignment horizontal="left" vertical="center" shrinkToFit="1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6" fontId="6" fillId="4" borderId="25" xfId="1" applyFont="1" applyFill="1" applyBorder="1" applyAlignment="1">
      <alignment horizontal="center" vertical="center" wrapText="1"/>
    </xf>
    <xf numFmtId="6" fontId="6" fillId="4" borderId="25" xfId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181" fontId="8" fillId="0" borderId="25" xfId="1" applyNumberFormat="1" applyFont="1" applyBorder="1" applyAlignment="1">
      <alignment horizontal="right" vertical="center" inden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6" fontId="6" fillId="4" borderId="27" xfId="1" applyFont="1" applyFill="1" applyBorder="1" applyAlignment="1">
      <alignment horizontal="center" vertical="center" wrapText="1"/>
    </xf>
    <xf numFmtId="6" fontId="6" fillId="4" borderId="29" xfId="1" applyFont="1" applyFill="1" applyBorder="1" applyAlignment="1">
      <alignment horizontal="center" vertical="center" wrapText="1"/>
    </xf>
    <xf numFmtId="6" fontId="8" fillId="0" borderId="29" xfId="1" applyFont="1" applyFill="1" applyBorder="1" applyAlignment="1">
      <alignment horizontal="center" vertical="center"/>
    </xf>
    <xf numFmtId="6" fontId="8" fillId="0" borderId="33" xfId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0" fillId="2" borderId="14" xfId="0" applyNumberFormat="1" applyFill="1" applyBorder="1" applyAlignment="1">
      <alignment horizontal="left" vertical="center"/>
    </xf>
    <xf numFmtId="176" fontId="0" fillId="2" borderId="13" xfId="0" applyNumberFormat="1" applyFill="1" applyBorder="1" applyAlignment="1">
      <alignment horizontal="left" vertical="center"/>
    </xf>
    <xf numFmtId="6" fontId="8" fillId="0" borderId="25" xfId="1" applyFont="1" applyFill="1" applyBorder="1" applyAlignment="1">
      <alignment horizontal="right" vertical="center" indent="1"/>
    </xf>
    <xf numFmtId="6" fontId="8" fillId="0" borderId="26" xfId="1" applyFont="1" applyFill="1" applyBorder="1" applyAlignment="1">
      <alignment horizontal="right" vertical="center" indent="1"/>
    </xf>
    <xf numFmtId="177" fontId="0" fillId="2" borderId="14" xfId="0" applyNumberFormat="1" applyFill="1" applyBorder="1" applyAlignment="1">
      <alignment horizontal="right" vertical="center" indent="1"/>
    </xf>
    <xf numFmtId="177" fontId="0" fillId="2" borderId="18" xfId="0" applyNumberFormat="1" applyFill="1" applyBorder="1" applyAlignment="1">
      <alignment horizontal="right" vertical="center" indent="1"/>
    </xf>
    <xf numFmtId="176" fontId="0" fillId="2" borderId="9" xfId="0" applyNumberFormat="1" applyFill="1" applyBorder="1" applyAlignment="1">
      <alignment horizontal="left" vertical="center"/>
    </xf>
    <xf numFmtId="176" fontId="0" fillId="2" borderId="11" xfId="0" applyNumberFormat="1" applyFill="1" applyBorder="1" applyAlignment="1">
      <alignment horizontal="left" vertical="center"/>
    </xf>
    <xf numFmtId="177" fontId="0" fillId="2" borderId="9" xfId="0" applyNumberFormat="1" applyFill="1" applyBorder="1" applyAlignment="1">
      <alignment horizontal="right" vertical="center" indent="1"/>
    </xf>
    <xf numFmtId="177" fontId="0" fillId="2" borderId="12" xfId="0" applyNumberFormat="1" applyFill="1" applyBorder="1" applyAlignment="1">
      <alignment horizontal="right" vertical="center" indent="1"/>
    </xf>
    <xf numFmtId="0" fontId="0" fillId="2" borderId="17" xfId="0" applyFill="1" applyBorder="1" applyAlignment="1">
      <alignment horizontal="center" vertical="center"/>
    </xf>
    <xf numFmtId="6" fontId="6" fillId="4" borderId="28" xfId="1" applyFont="1" applyFill="1" applyBorder="1" applyAlignment="1">
      <alignment vertical="center" wrapText="1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0</xdr:row>
      <xdr:rowOff>0</xdr:rowOff>
    </xdr:from>
    <xdr:to>
      <xdr:col>9</xdr:col>
      <xdr:colOff>571501</xdr:colOff>
      <xdr:row>0</xdr:row>
      <xdr:rowOff>390525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AAD447CE-E714-4ABE-A004-231AC9B318A3}"/>
            </a:ext>
          </a:extLst>
        </xdr:cNvPr>
        <xdr:cNvSpPr/>
      </xdr:nvSpPr>
      <xdr:spPr>
        <a:xfrm>
          <a:off x="1781175" y="0"/>
          <a:ext cx="4143376" cy="390525"/>
        </a:xfrm>
        <a:prstGeom prst="wedgeRoundRectCallout">
          <a:avLst>
            <a:gd name="adj1" fmla="val -73566"/>
            <a:gd name="adj2" fmla="val 10364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年度と月に下記のように数字を入力　→　カレンダー自動計算されます</a:t>
          </a:r>
        </a:p>
      </xdr:txBody>
    </xdr:sp>
    <xdr:clientData/>
  </xdr:twoCellAnchor>
  <xdr:twoCellAnchor>
    <xdr:from>
      <xdr:col>13</xdr:col>
      <xdr:colOff>304801</xdr:colOff>
      <xdr:row>0</xdr:row>
      <xdr:rowOff>0</xdr:rowOff>
    </xdr:from>
    <xdr:to>
      <xdr:col>14</xdr:col>
      <xdr:colOff>552451</xdr:colOff>
      <xdr:row>2</xdr:row>
      <xdr:rowOff>276225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DDDB83D2-7487-4D1F-BC06-FBD2466CF3A4}"/>
            </a:ext>
          </a:extLst>
        </xdr:cNvPr>
        <xdr:cNvSpPr/>
      </xdr:nvSpPr>
      <xdr:spPr>
        <a:xfrm>
          <a:off x="8362951" y="0"/>
          <a:ext cx="1238250" cy="790575"/>
        </a:xfrm>
        <a:prstGeom prst="wedgeRoundRectCallout">
          <a:avLst>
            <a:gd name="adj1" fmla="val 1160"/>
            <a:gd name="adj2" fmla="val 7943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氏名と拠点を入力してください</a:t>
          </a:r>
        </a:p>
      </xdr:txBody>
    </xdr:sp>
    <xdr:clientData/>
  </xdr:twoCellAnchor>
  <xdr:twoCellAnchor>
    <xdr:from>
      <xdr:col>6</xdr:col>
      <xdr:colOff>238125</xdr:colOff>
      <xdr:row>16</xdr:row>
      <xdr:rowOff>209550</xdr:rowOff>
    </xdr:from>
    <xdr:to>
      <xdr:col>11</xdr:col>
      <xdr:colOff>38100</xdr:colOff>
      <xdr:row>19</xdr:row>
      <xdr:rowOff>238125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0104DA17-1078-40EC-975E-825F6E55FC41}"/>
            </a:ext>
          </a:extLst>
        </xdr:cNvPr>
        <xdr:cNvSpPr/>
      </xdr:nvSpPr>
      <xdr:spPr>
        <a:xfrm>
          <a:off x="3590925" y="4505325"/>
          <a:ext cx="3133725" cy="828675"/>
        </a:xfrm>
        <a:prstGeom prst="wedgeRoundRectCallout">
          <a:avLst>
            <a:gd name="adj1" fmla="val 49187"/>
            <a:gd name="adj2" fmla="val 7769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移動開始時のメーター数と移動終了時のメーター数を入力してくだい。合計距離が自動で入力されます。</a:t>
          </a:r>
        </a:p>
      </xdr:txBody>
    </xdr:sp>
    <xdr:clientData/>
  </xdr:twoCellAnchor>
  <xdr:twoCellAnchor>
    <xdr:from>
      <xdr:col>3</xdr:col>
      <xdr:colOff>0</xdr:colOff>
      <xdr:row>12</xdr:row>
      <xdr:rowOff>19050</xdr:rowOff>
    </xdr:from>
    <xdr:to>
      <xdr:col>7</xdr:col>
      <xdr:colOff>28575</xdr:colOff>
      <xdr:row>15</xdr:row>
      <xdr:rowOff>209551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AC8992EE-F8A9-4CCA-AAC9-263A1E152D65}"/>
            </a:ext>
          </a:extLst>
        </xdr:cNvPr>
        <xdr:cNvSpPr/>
      </xdr:nvSpPr>
      <xdr:spPr>
        <a:xfrm>
          <a:off x="1390650" y="3248025"/>
          <a:ext cx="2657475" cy="990601"/>
        </a:xfrm>
        <a:prstGeom prst="wedgeRoundRectCallout">
          <a:avLst>
            <a:gd name="adj1" fmla="val -32533"/>
            <a:gd name="adj2" fmla="val 8214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複数得意先に行った場合は、書ききれないと思うので、下記を参考に「県</a:t>
          </a:r>
          <a:r>
            <a:rPr kumimoji="1" lang="en-US" altLang="ja-JP" sz="900"/>
            <a:t>+</a:t>
          </a:r>
          <a:r>
            <a:rPr kumimoji="1" lang="ja-JP" altLang="en-US" sz="900"/>
            <a:t>〇件」のように書き、行程の所に得意先</a:t>
          </a:r>
          <a:r>
            <a:rPr kumimoji="1" lang="en-US" altLang="ja-JP" sz="900"/>
            <a:t>+</a:t>
          </a:r>
          <a:r>
            <a:rPr kumimoji="1" lang="ja-JP" altLang="en-US" sz="900"/>
            <a:t>距離をご記入ください。</a:t>
          </a:r>
          <a:endParaRPr kumimoji="1" lang="en-US" altLang="ja-JP" sz="900"/>
        </a:p>
      </xdr:txBody>
    </xdr:sp>
    <xdr:clientData/>
  </xdr:twoCellAnchor>
  <xdr:twoCellAnchor>
    <xdr:from>
      <xdr:col>6</xdr:col>
      <xdr:colOff>600075</xdr:colOff>
      <xdr:row>9</xdr:row>
      <xdr:rowOff>47626</xdr:rowOff>
    </xdr:from>
    <xdr:to>
      <xdr:col>10</xdr:col>
      <xdr:colOff>590550</xdr:colOff>
      <xdr:row>11</xdr:row>
      <xdr:rowOff>171450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4784EDA2-6F61-456D-8C43-3C407792CEB5}"/>
            </a:ext>
          </a:extLst>
        </xdr:cNvPr>
        <xdr:cNvSpPr/>
      </xdr:nvSpPr>
      <xdr:spPr>
        <a:xfrm>
          <a:off x="3952875" y="2476501"/>
          <a:ext cx="2657475" cy="657224"/>
        </a:xfrm>
        <a:prstGeom prst="wedgeRoundRectCallout">
          <a:avLst>
            <a:gd name="adj1" fmla="val 55997"/>
            <a:gd name="adj2" fmla="val -16368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合計距離と支給額は</a:t>
          </a:r>
          <a:r>
            <a:rPr kumimoji="1" lang="en-US" altLang="ja-JP" sz="900"/>
            <a:t>km</a:t>
          </a:r>
          <a:r>
            <a:rPr kumimoji="1" lang="ja-JP" altLang="en-US" sz="900"/>
            <a:t>＠</a:t>
          </a:r>
          <a:r>
            <a:rPr kumimoji="1" lang="en-US" altLang="ja-JP" sz="900"/>
            <a:t>15</a:t>
          </a:r>
          <a:r>
            <a:rPr kumimoji="1" lang="ja-JP" altLang="en-US" sz="900"/>
            <a:t>円で自動計算で表示されます。</a:t>
          </a:r>
          <a:endParaRPr kumimoji="1" lang="en-US" altLang="ja-JP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0</xdr:rowOff>
    </xdr:from>
    <xdr:to>
      <xdr:col>9</xdr:col>
      <xdr:colOff>600076</xdr:colOff>
      <xdr:row>0</xdr:row>
      <xdr:rowOff>390525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08AC17D8-6B4D-8A55-27A9-0B362EE126A5}"/>
            </a:ext>
          </a:extLst>
        </xdr:cNvPr>
        <xdr:cNvSpPr/>
      </xdr:nvSpPr>
      <xdr:spPr>
        <a:xfrm>
          <a:off x="1809750" y="0"/>
          <a:ext cx="4143376" cy="390525"/>
        </a:xfrm>
        <a:prstGeom prst="wedgeRoundRectCallout">
          <a:avLst>
            <a:gd name="adj1" fmla="val -73566"/>
            <a:gd name="adj2" fmla="val 10364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年度と月に下記のように数字を入力　→　カレンダー自動計算されます</a:t>
          </a:r>
        </a:p>
      </xdr:txBody>
    </xdr:sp>
    <xdr:clientData/>
  </xdr:twoCellAnchor>
  <xdr:twoCellAnchor>
    <xdr:from>
      <xdr:col>13</xdr:col>
      <xdr:colOff>76201</xdr:colOff>
      <xdr:row>2</xdr:row>
      <xdr:rowOff>371474</xdr:rowOff>
    </xdr:from>
    <xdr:to>
      <xdr:col>15</xdr:col>
      <xdr:colOff>457201</xdr:colOff>
      <xdr:row>5</xdr:row>
      <xdr:rowOff>314324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D0DF882-C2F0-4D8E-B6E0-DB09B1A8DD59}"/>
            </a:ext>
          </a:extLst>
        </xdr:cNvPr>
        <xdr:cNvSpPr/>
      </xdr:nvSpPr>
      <xdr:spPr>
        <a:xfrm>
          <a:off x="8096251" y="885824"/>
          <a:ext cx="1238250" cy="790575"/>
        </a:xfrm>
        <a:prstGeom prst="wedgeRoundRectCallout">
          <a:avLst>
            <a:gd name="adj1" fmla="val -101917"/>
            <a:gd name="adj2" fmla="val -2297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氏名と拠点を入力してください</a:t>
          </a:r>
        </a:p>
      </xdr:txBody>
    </xdr:sp>
    <xdr:clientData/>
  </xdr:twoCellAnchor>
  <xdr:twoCellAnchor>
    <xdr:from>
      <xdr:col>10</xdr:col>
      <xdr:colOff>514350</xdr:colOff>
      <xdr:row>13</xdr:row>
      <xdr:rowOff>95249</xdr:rowOff>
    </xdr:from>
    <xdr:to>
      <xdr:col>12</xdr:col>
      <xdr:colOff>609601</xdr:colOff>
      <xdr:row>17</xdr:row>
      <xdr:rowOff>19050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D1004126-8D49-4A27-9A45-D88536F05429}"/>
            </a:ext>
          </a:extLst>
        </xdr:cNvPr>
        <xdr:cNvSpPr/>
      </xdr:nvSpPr>
      <xdr:spPr>
        <a:xfrm>
          <a:off x="6534150" y="3590924"/>
          <a:ext cx="1428751" cy="990601"/>
        </a:xfrm>
        <a:prstGeom prst="wedgeRoundRectCallout">
          <a:avLst>
            <a:gd name="adj1" fmla="val 23467"/>
            <a:gd name="adj2" fmla="val 7252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/>
            <a:t>128</a:t>
          </a:r>
          <a:r>
            <a:rPr kumimoji="1" lang="ja-JP" altLang="en-US" sz="900"/>
            <a:t>　と　この日の合計</a:t>
          </a:r>
          <a:r>
            <a:rPr kumimoji="1" lang="en-US" altLang="ja-JP" sz="900"/>
            <a:t>km</a:t>
          </a:r>
          <a:r>
            <a:rPr kumimoji="1" lang="ja-JP" altLang="en-US" sz="900"/>
            <a:t>を入力したら、自動で</a:t>
          </a:r>
          <a:r>
            <a:rPr kumimoji="1" lang="en-US" altLang="ja-JP" sz="900"/>
            <a:t>km</a:t>
          </a:r>
          <a:r>
            <a:rPr kumimoji="1" lang="ja-JP" altLang="en-US" sz="900"/>
            <a:t>表示がつきます</a:t>
          </a:r>
        </a:p>
      </xdr:txBody>
    </xdr:sp>
    <xdr:clientData/>
  </xdr:twoCellAnchor>
  <xdr:twoCellAnchor>
    <xdr:from>
      <xdr:col>3</xdr:col>
      <xdr:colOff>228600</xdr:colOff>
      <xdr:row>12</xdr:row>
      <xdr:rowOff>133349</xdr:rowOff>
    </xdr:from>
    <xdr:to>
      <xdr:col>7</xdr:col>
      <xdr:colOff>257175</xdr:colOff>
      <xdr:row>16</xdr:row>
      <xdr:rowOff>57150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7F588A4C-AA29-461E-967A-D9B2BAF964B3}"/>
            </a:ext>
          </a:extLst>
        </xdr:cNvPr>
        <xdr:cNvSpPr/>
      </xdr:nvSpPr>
      <xdr:spPr>
        <a:xfrm>
          <a:off x="1619250" y="3362324"/>
          <a:ext cx="2657475" cy="990601"/>
        </a:xfrm>
        <a:prstGeom prst="wedgeRoundRectCallout">
          <a:avLst>
            <a:gd name="adj1" fmla="val -32533"/>
            <a:gd name="adj2" fmla="val 8214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複数得意先に行った場合は、書ききれないと思うので、下記を参考に「県</a:t>
          </a:r>
          <a:r>
            <a:rPr kumimoji="1" lang="en-US" altLang="ja-JP" sz="900"/>
            <a:t>+</a:t>
          </a:r>
          <a:r>
            <a:rPr kumimoji="1" lang="ja-JP" altLang="en-US" sz="900"/>
            <a:t>〇件」のように書き、行程の所に得意先</a:t>
          </a:r>
          <a:r>
            <a:rPr kumimoji="1" lang="en-US" altLang="ja-JP" sz="900"/>
            <a:t>+</a:t>
          </a:r>
          <a:r>
            <a:rPr kumimoji="1" lang="ja-JP" altLang="en-US" sz="900"/>
            <a:t>距離をご記入ください。</a:t>
          </a:r>
          <a:endParaRPr kumimoji="1" lang="en-US" altLang="ja-JP" sz="900"/>
        </a:p>
      </xdr:txBody>
    </xdr:sp>
    <xdr:clientData/>
  </xdr:twoCellAnchor>
  <xdr:twoCellAnchor>
    <xdr:from>
      <xdr:col>7</xdr:col>
      <xdr:colOff>619125</xdr:colOff>
      <xdr:row>9</xdr:row>
      <xdr:rowOff>66674</xdr:rowOff>
    </xdr:from>
    <xdr:to>
      <xdr:col>11</xdr:col>
      <xdr:colOff>609600</xdr:colOff>
      <xdr:row>12</xdr:row>
      <xdr:rowOff>257175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E736B732-2A61-47A0-BF8D-E112A6C769C7}"/>
            </a:ext>
          </a:extLst>
        </xdr:cNvPr>
        <xdr:cNvSpPr/>
      </xdr:nvSpPr>
      <xdr:spPr>
        <a:xfrm>
          <a:off x="4638675" y="2495549"/>
          <a:ext cx="2657475" cy="990601"/>
        </a:xfrm>
        <a:prstGeom prst="wedgeRoundRectCallout">
          <a:avLst>
            <a:gd name="adj1" fmla="val 83"/>
            <a:gd name="adj2" fmla="val -11497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合計距離と支給額は</a:t>
          </a:r>
          <a:r>
            <a:rPr kumimoji="1" lang="en-US" altLang="ja-JP" sz="900"/>
            <a:t>km</a:t>
          </a:r>
          <a:r>
            <a:rPr kumimoji="1" lang="ja-JP" altLang="en-US" sz="900"/>
            <a:t>＠</a:t>
          </a:r>
          <a:r>
            <a:rPr kumimoji="1" lang="en-US" altLang="ja-JP" sz="900"/>
            <a:t>15</a:t>
          </a:r>
          <a:r>
            <a:rPr kumimoji="1" lang="ja-JP" altLang="en-US" sz="900"/>
            <a:t>円で自動計算で表示されます。</a:t>
          </a:r>
          <a:endParaRPr kumimoji="1" lang="en-US" altLang="ja-JP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71DA-0832-450C-B822-A17DF4102C00}">
  <sheetPr codeName="Sheet1">
    <tabColor rgb="FFFFFF00"/>
    <pageSetUpPr fitToPage="1"/>
  </sheetPr>
  <dimension ref="B1:P42"/>
  <sheetViews>
    <sheetView tabSelected="1" zoomScaleNormal="100" workbookViewId="0">
      <selection activeCell="M11" sqref="M11"/>
    </sheetView>
  </sheetViews>
  <sheetFormatPr defaultRowHeight="18" x14ac:dyDescent="0.45"/>
  <cols>
    <col min="1" max="1" width="2.19921875" customWidth="1"/>
    <col min="2" max="3" width="8" customWidth="1"/>
    <col min="4" max="4" width="11.09765625" customWidth="1"/>
    <col min="5" max="5" width="3.59765625" customWidth="1"/>
    <col min="6" max="6" width="11" customWidth="1"/>
    <col min="7" max="11" width="8.69921875" customWidth="1"/>
    <col min="12" max="12" width="15.09765625" bestFit="1" customWidth="1"/>
    <col min="13" max="13" width="2.8984375" bestFit="1" customWidth="1"/>
    <col min="14" max="14" width="13" bestFit="1" customWidth="1"/>
    <col min="15" max="16" width="8.69921875" customWidth="1"/>
    <col min="17" max="17" width="2.19921875" customWidth="1"/>
  </cols>
  <sheetData>
    <row r="1" spans="2:16" ht="32.25" customHeight="1" x14ac:dyDescent="0.45">
      <c r="B1" s="1" t="s">
        <v>8</v>
      </c>
      <c r="K1" s="42" t="s">
        <v>7</v>
      </c>
      <c r="L1" s="42"/>
      <c r="M1" s="42"/>
      <c r="N1" s="42"/>
      <c r="O1" s="42"/>
      <c r="P1" s="42"/>
    </row>
    <row r="2" spans="2:16" ht="8.25" customHeight="1" thickBot="1" x14ac:dyDescent="0.5"/>
    <row r="3" spans="2:16" ht="29.25" customHeight="1" x14ac:dyDescent="0.45">
      <c r="B3" s="2" t="s">
        <v>0</v>
      </c>
      <c r="C3" s="3" t="s">
        <v>1</v>
      </c>
      <c r="D3" s="4" t="s">
        <v>2</v>
      </c>
      <c r="E3" s="5" t="s">
        <v>3</v>
      </c>
      <c r="F3" s="6" t="s">
        <v>4</v>
      </c>
      <c r="G3" s="40" t="s">
        <v>5</v>
      </c>
      <c r="H3" s="52"/>
      <c r="I3" s="51"/>
      <c r="J3" s="52" t="s">
        <v>9</v>
      </c>
      <c r="K3" s="52"/>
      <c r="L3" s="52"/>
      <c r="M3" s="52"/>
      <c r="N3" s="52"/>
      <c r="O3" s="52"/>
      <c r="P3" s="41"/>
    </row>
    <row r="4" spans="2:16" ht="29.25" customHeight="1" thickBot="1" x14ac:dyDescent="0.5">
      <c r="B4" s="7">
        <v>2025</v>
      </c>
      <c r="C4" s="8">
        <v>6</v>
      </c>
      <c r="D4" s="10">
        <f>IF(OR(B4="",C4=""),"",DATE(B4,C4,1))</f>
        <v>45809</v>
      </c>
      <c r="E4" s="9" t="str">
        <f>IF(D4="","","～")</f>
        <v>～</v>
      </c>
      <c r="F4" s="11">
        <f>IF(OR(B4="",C4=""),"",DATE(B4,C4+1,1)-1)</f>
        <v>45838</v>
      </c>
      <c r="G4" s="58"/>
      <c r="H4" s="59"/>
      <c r="I4" s="60"/>
      <c r="J4" s="59"/>
      <c r="K4" s="59"/>
      <c r="L4" s="59"/>
      <c r="M4" s="59"/>
      <c r="N4" s="59"/>
      <c r="O4" s="59"/>
      <c r="P4" s="61"/>
    </row>
    <row r="5" spans="2:16" ht="8.25" customHeight="1" thickBot="1" x14ac:dyDescent="0.5"/>
    <row r="6" spans="2:16" ht="35.25" customHeight="1" thickBot="1" x14ac:dyDescent="0.5">
      <c r="B6" s="55" t="s">
        <v>13</v>
      </c>
      <c r="C6" s="56"/>
      <c r="D6" s="24" cm="1">
        <f t="array" ref="D6">COUNT(IF($O$10:$P$40&lt;&gt;0,O10:P40))</f>
        <v>0</v>
      </c>
      <c r="E6" s="23" t="s">
        <v>14</v>
      </c>
      <c r="F6" s="53" t="s">
        <v>15</v>
      </c>
      <c r="G6" s="54"/>
      <c r="H6" s="57">
        <f>SUM($O$10:$P$40)</f>
        <v>0</v>
      </c>
      <c r="I6" s="57"/>
      <c r="J6" s="62" t="s">
        <v>16</v>
      </c>
      <c r="K6" s="63"/>
      <c r="L6" s="63"/>
      <c r="M6" s="37"/>
      <c r="N6" s="64">
        <f>$H$6*15</f>
        <v>0</v>
      </c>
      <c r="O6" s="64"/>
      <c r="P6" s="65"/>
    </row>
    <row r="7" spans="2:16" ht="8.25" customHeight="1" x14ac:dyDescent="0.45"/>
    <row r="8" spans="2:16" ht="18.600000000000001" thickBot="1" x14ac:dyDescent="0.5">
      <c r="B8" t="s">
        <v>17</v>
      </c>
    </row>
    <row r="9" spans="2:16" ht="27.6" customHeight="1" x14ac:dyDescent="0.45">
      <c r="B9" s="13" t="s">
        <v>6</v>
      </c>
      <c r="C9" s="12" t="s">
        <v>10</v>
      </c>
      <c r="D9" s="40" t="s">
        <v>32</v>
      </c>
      <c r="E9" s="51"/>
      <c r="F9" s="40" t="s">
        <v>11</v>
      </c>
      <c r="G9" s="52"/>
      <c r="H9" s="52"/>
      <c r="I9" s="52"/>
      <c r="J9" s="52"/>
      <c r="K9" s="51"/>
      <c r="L9" s="4" t="s">
        <v>40</v>
      </c>
      <c r="M9" s="33"/>
      <c r="N9" s="6" t="s">
        <v>39</v>
      </c>
      <c r="O9" s="40" t="s">
        <v>12</v>
      </c>
      <c r="P9" s="41"/>
    </row>
    <row r="10" spans="2:16" ht="27.6" customHeight="1" x14ac:dyDescent="0.45">
      <c r="B10" s="18">
        <f>D4</f>
        <v>45809</v>
      </c>
      <c r="C10" s="16">
        <f>D4</f>
        <v>45809</v>
      </c>
      <c r="D10" s="45"/>
      <c r="E10" s="47"/>
      <c r="F10" s="45"/>
      <c r="G10" s="46"/>
      <c r="H10" s="46"/>
      <c r="I10" s="46"/>
      <c r="J10" s="46"/>
      <c r="K10" s="47"/>
      <c r="L10" s="28"/>
      <c r="M10" s="30" t="s">
        <v>38</v>
      </c>
      <c r="N10" s="29"/>
      <c r="O10" s="43">
        <f>N10-L10</f>
        <v>0</v>
      </c>
      <c r="P10" s="44"/>
    </row>
    <row r="11" spans="2:16" ht="27.6" customHeight="1" x14ac:dyDescent="0.45">
      <c r="B11" s="18">
        <f>IF(B10&gt;=$F$4,"",B10+1)</f>
        <v>45810</v>
      </c>
      <c r="C11" s="16">
        <f>IF(C10&gt;=$F$4,"",C10+1)</f>
        <v>45810</v>
      </c>
      <c r="D11" s="45"/>
      <c r="E11" s="47"/>
      <c r="F11" s="45"/>
      <c r="G11" s="46"/>
      <c r="H11" s="46"/>
      <c r="I11" s="46"/>
      <c r="J11" s="46"/>
      <c r="K11" s="47"/>
      <c r="L11" s="28"/>
      <c r="M11" s="30" t="s">
        <v>37</v>
      </c>
      <c r="N11" s="29"/>
      <c r="O11" s="43">
        <f t="shared" ref="O11:O40" si="0">N11-L11</f>
        <v>0</v>
      </c>
      <c r="P11" s="44"/>
    </row>
    <row r="12" spans="2:16" ht="27.6" customHeight="1" x14ac:dyDescent="0.45">
      <c r="B12" s="18">
        <f t="shared" ref="B12:C40" si="1">IF(B11&gt;=$F$4,"",B11+1)</f>
        <v>45811</v>
      </c>
      <c r="C12" s="16">
        <f t="shared" si="1"/>
        <v>45811</v>
      </c>
      <c r="D12" s="45"/>
      <c r="E12" s="47"/>
      <c r="F12" s="45"/>
      <c r="G12" s="46"/>
      <c r="H12" s="46"/>
      <c r="I12" s="46"/>
      <c r="J12" s="46"/>
      <c r="K12" s="47"/>
      <c r="L12" s="28"/>
      <c r="M12" s="30" t="s">
        <v>37</v>
      </c>
      <c r="N12" s="29"/>
      <c r="O12" s="43">
        <f t="shared" si="0"/>
        <v>0</v>
      </c>
      <c r="P12" s="44"/>
    </row>
    <row r="13" spans="2:16" ht="27.6" customHeight="1" x14ac:dyDescent="0.45">
      <c r="B13" s="18">
        <f t="shared" si="1"/>
        <v>45812</v>
      </c>
      <c r="C13" s="16">
        <f t="shared" si="1"/>
        <v>45812</v>
      </c>
      <c r="D13" s="45"/>
      <c r="E13" s="47"/>
      <c r="F13" s="45"/>
      <c r="G13" s="46"/>
      <c r="H13" s="46"/>
      <c r="I13" s="46"/>
      <c r="J13" s="46"/>
      <c r="K13" s="47"/>
      <c r="L13" s="28"/>
      <c r="M13" s="30" t="s">
        <v>37</v>
      </c>
      <c r="N13" s="29"/>
      <c r="O13" s="43">
        <f t="shared" si="0"/>
        <v>0</v>
      </c>
      <c r="P13" s="44"/>
    </row>
    <row r="14" spans="2:16" ht="27.6" customHeight="1" x14ac:dyDescent="0.45">
      <c r="B14" s="18">
        <f t="shared" si="1"/>
        <v>45813</v>
      </c>
      <c r="C14" s="16">
        <f t="shared" si="1"/>
        <v>45813</v>
      </c>
      <c r="D14" s="45"/>
      <c r="E14" s="47"/>
      <c r="F14" s="45"/>
      <c r="G14" s="46"/>
      <c r="H14" s="46"/>
      <c r="I14" s="46"/>
      <c r="J14" s="46"/>
      <c r="K14" s="47"/>
      <c r="L14" s="28"/>
      <c r="M14" s="30" t="s">
        <v>37</v>
      </c>
      <c r="N14" s="29"/>
      <c r="O14" s="43">
        <f t="shared" si="0"/>
        <v>0</v>
      </c>
      <c r="P14" s="44"/>
    </row>
    <row r="15" spans="2:16" ht="27.6" customHeight="1" x14ac:dyDescent="0.45">
      <c r="B15" s="18">
        <f t="shared" si="1"/>
        <v>45814</v>
      </c>
      <c r="C15" s="16">
        <f t="shared" si="1"/>
        <v>45814</v>
      </c>
      <c r="D15" s="45"/>
      <c r="E15" s="47"/>
      <c r="F15" s="45"/>
      <c r="G15" s="46"/>
      <c r="H15" s="46"/>
      <c r="I15" s="46"/>
      <c r="J15" s="46"/>
      <c r="K15" s="47"/>
      <c r="L15" s="28"/>
      <c r="M15" s="30" t="s">
        <v>37</v>
      </c>
      <c r="N15" s="29"/>
      <c r="O15" s="43">
        <f t="shared" si="0"/>
        <v>0</v>
      </c>
      <c r="P15" s="44"/>
    </row>
    <row r="16" spans="2:16" ht="27.6" customHeight="1" x14ac:dyDescent="0.45">
      <c r="B16" s="18">
        <f t="shared" si="1"/>
        <v>45815</v>
      </c>
      <c r="C16" s="16">
        <f t="shared" si="1"/>
        <v>45815</v>
      </c>
      <c r="D16" s="45"/>
      <c r="E16" s="47"/>
      <c r="F16" s="45"/>
      <c r="G16" s="46"/>
      <c r="H16" s="46"/>
      <c r="I16" s="46"/>
      <c r="J16" s="46"/>
      <c r="K16" s="47"/>
      <c r="L16" s="28"/>
      <c r="M16" s="30" t="s">
        <v>37</v>
      </c>
      <c r="N16" s="29"/>
      <c r="O16" s="43">
        <f t="shared" si="0"/>
        <v>0</v>
      </c>
      <c r="P16" s="44"/>
    </row>
    <row r="17" spans="2:16" ht="27.6" customHeight="1" x14ac:dyDescent="0.45">
      <c r="B17" s="18">
        <f t="shared" si="1"/>
        <v>45816</v>
      </c>
      <c r="C17" s="16">
        <f t="shared" si="1"/>
        <v>45816</v>
      </c>
      <c r="D17" s="45"/>
      <c r="E17" s="47"/>
      <c r="F17" s="45"/>
      <c r="G17" s="46"/>
      <c r="H17" s="46"/>
      <c r="I17" s="46"/>
      <c r="J17" s="46"/>
      <c r="K17" s="47"/>
      <c r="L17" s="28"/>
      <c r="M17" s="30" t="s">
        <v>37</v>
      </c>
      <c r="N17" s="29"/>
      <c r="O17" s="43">
        <f t="shared" si="0"/>
        <v>0</v>
      </c>
      <c r="P17" s="44"/>
    </row>
    <row r="18" spans="2:16" ht="27.6" customHeight="1" x14ac:dyDescent="0.45">
      <c r="B18" s="18">
        <f t="shared" si="1"/>
        <v>45817</v>
      </c>
      <c r="C18" s="16">
        <f t="shared" si="1"/>
        <v>45817</v>
      </c>
      <c r="D18" s="45"/>
      <c r="E18" s="47"/>
      <c r="F18" s="45"/>
      <c r="G18" s="46"/>
      <c r="H18" s="46"/>
      <c r="I18" s="46"/>
      <c r="J18" s="46"/>
      <c r="K18" s="47"/>
      <c r="L18" s="28"/>
      <c r="M18" s="30" t="s">
        <v>37</v>
      </c>
      <c r="N18" s="29"/>
      <c r="O18" s="43">
        <f t="shared" si="0"/>
        <v>0</v>
      </c>
      <c r="P18" s="44"/>
    </row>
    <row r="19" spans="2:16" ht="27.6" customHeight="1" x14ac:dyDescent="0.45">
      <c r="B19" s="18">
        <f t="shared" si="1"/>
        <v>45818</v>
      </c>
      <c r="C19" s="16">
        <f t="shared" si="1"/>
        <v>45818</v>
      </c>
      <c r="D19" s="45"/>
      <c r="E19" s="47"/>
      <c r="F19" s="45"/>
      <c r="G19" s="46"/>
      <c r="H19" s="46"/>
      <c r="I19" s="46"/>
      <c r="J19" s="46"/>
      <c r="K19" s="47"/>
      <c r="L19" s="28"/>
      <c r="M19" s="30" t="s">
        <v>37</v>
      </c>
      <c r="N19" s="29"/>
      <c r="O19" s="43">
        <f t="shared" si="0"/>
        <v>0</v>
      </c>
      <c r="P19" s="44"/>
    </row>
    <row r="20" spans="2:16" ht="27.6" customHeight="1" x14ac:dyDescent="0.45">
      <c r="B20" s="18">
        <f t="shared" si="1"/>
        <v>45819</v>
      </c>
      <c r="C20" s="16">
        <f t="shared" si="1"/>
        <v>45819</v>
      </c>
      <c r="D20" s="45"/>
      <c r="E20" s="47"/>
      <c r="F20" s="45"/>
      <c r="G20" s="46"/>
      <c r="H20" s="46"/>
      <c r="I20" s="46"/>
      <c r="J20" s="46"/>
      <c r="K20" s="47"/>
      <c r="L20" s="28"/>
      <c r="M20" s="30" t="s">
        <v>37</v>
      </c>
      <c r="N20" s="29"/>
      <c r="O20" s="43">
        <f t="shared" si="0"/>
        <v>0</v>
      </c>
      <c r="P20" s="44"/>
    </row>
    <row r="21" spans="2:16" ht="27.6" customHeight="1" x14ac:dyDescent="0.45">
      <c r="B21" s="18">
        <f t="shared" si="1"/>
        <v>45820</v>
      </c>
      <c r="C21" s="16">
        <f t="shared" si="1"/>
        <v>45820</v>
      </c>
      <c r="D21" s="45"/>
      <c r="E21" s="47"/>
      <c r="F21" s="45"/>
      <c r="G21" s="46"/>
      <c r="H21" s="46"/>
      <c r="I21" s="46"/>
      <c r="J21" s="46"/>
      <c r="K21" s="47"/>
      <c r="L21" s="28"/>
      <c r="M21" s="30" t="s">
        <v>37</v>
      </c>
      <c r="N21" s="29"/>
      <c r="O21" s="43">
        <f t="shared" si="0"/>
        <v>0</v>
      </c>
      <c r="P21" s="44"/>
    </row>
    <row r="22" spans="2:16" ht="27.6" customHeight="1" x14ac:dyDescent="0.45">
      <c r="B22" s="18">
        <f t="shared" si="1"/>
        <v>45821</v>
      </c>
      <c r="C22" s="16">
        <f t="shared" si="1"/>
        <v>45821</v>
      </c>
      <c r="D22" s="45"/>
      <c r="E22" s="47"/>
      <c r="F22" s="45"/>
      <c r="G22" s="46"/>
      <c r="H22" s="46"/>
      <c r="I22" s="46"/>
      <c r="J22" s="46"/>
      <c r="K22" s="47"/>
      <c r="L22" s="28"/>
      <c r="M22" s="30" t="s">
        <v>37</v>
      </c>
      <c r="N22" s="29"/>
      <c r="O22" s="43">
        <f t="shared" si="0"/>
        <v>0</v>
      </c>
      <c r="P22" s="44"/>
    </row>
    <row r="23" spans="2:16" ht="27.6" customHeight="1" x14ac:dyDescent="0.45">
      <c r="B23" s="18">
        <f t="shared" si="1"/>
        <v>45822</v>
      </c>
      <c r="C23" s="16">
        <f t="shared" si="1"/>
        <v>45822</v>
      </c>
      <c r="D23" s="45"/>
      <c r="E23" s="47"/>
      <c r="F23" s="45"/>
      <c r="G23" s="46"/>
      <c r="H23" s="46"/>
      <c r="I23" s="46"/>
      <c r="J23" s="46"/>
      <c r="K23" s="47"/>
      <c r="L23" s="28"/>
      <c r="M23" s="30" t="s">
        <v>37</v>
      </c>
      <c r="N23" s="29"/>
      <c r="O23" s="43">
        <f t="shared" si="0"/>
        <v>0</v>
      </c>
      <c r="P23" s="44"/>
    </row>
    <row r="24" spans="2:16" ht="27.6" customHeight="1" x14ac:dyDescent="0.45">
      <c r="B24" s="18">
        <f t="shared" si="1"/>
        <v>45823</v>
      </c>
      <c r="C24" s="16">
        <f t="shared" si="1"/>
        <v>45823</v>
      </c>
      <c r="D24" s="45"/>
      <c r="E24" s="47"/>
      <c r="F24" s="45"/>
      <c r="G24" s="46"/>
      <c r="H24" s="46"/>
      <c r="I24" s="46"/>
      <c r="J24" s="46"/>
      <c r="K24" s="47"/>
      <c r="L24" s="28"/>
      <c r="M24" s="30" t="s">
        <v>37</v>
      </c>
      <c r="N24" s="29"/>
      <c r="O24" s="43">
        <f t="shared" si="0"/>
        <v>0</v>
      </c>
      <c r="P24" s="44"/>
    </row>
    <row r="25" spans="2:16" ht="27.6" customHeight="1" x14ac:dyDescent="0.45">
      <c r="B25" s="18">
        <f t="shared" si="1"/>
        <v>45824</v>
      </c>
      <c r="C25" s="16">
        <f t="shared" si="1"/>
        <v>45824</v>
      </c>
      <c r="D25" s="45"/>
      <c r="E25" s="47"/>
      <c r="F25" s="45"/>
      <c r="G25" s="46"/>
      <c r="H25" s="46"/>
      <c r="I25" s="46"/>
      <c r="J25" s="46"/>
      <c r="K25" s="47"/>
      <c r="L25" s="28"/>
      <c r="M25" s="30" t="s">
        <v>37</v>
      </c>
      <c r="N25" s="29"/>
      <c r="O25" s="43">
        <f t="shared" si="0"/>
        <v>0</v>
      </c>
      <c r="P25" s="44"/>
    </row>
    <row r="26" spans="2:16" ht="27.6" customHeight="1" x14ac:dyDescent="0.45">
      <c r="B26" s="18">
        <f t="shared" si="1"/>
        <v>45825</v>
      </c>
      <c r="C26" s="16">
        <f t="shared" si="1"/>
        <v>45825</v>
      </c>
      <c r="D26" s="45"/>
      <c r="E26" s="47"/>
      <c r="F26" s="45"/>
      <c r="G26" s="46"/>
      <c r="H26" s="46"/>
      <c r="I26" s="46"/>
      <c r="J26" s="46"/>
      <c r="K26" s="47"/>
      <c r="L26" s="28"/>
      <c r="M26" s="30" t="s">
        <v>37</v>
      </c>
      <c r="N26" s="29"/>
      <c r="O26" s="43">
        <f t="shared" si="0"/>
        <v>0</v>
      </c>
      <c r="P26" s="44"/>
    </row>
    <row r="27" spans="2:16" ht="27.6" customHeight="1" x14ac:dyDescent="0.45">
      <c r="B27" s="18">
        <f t="shared" si="1"/>
        <v>45826</v>
      </c>
      <c r="C27" s="16">
        <f t="shared" si="1"/>
        <v>45826</v>
      </c>
      <c r="D27" s="45"/>
      <c r="E27" s="47"/>
      <c r="F27" s="45"/>
      <c r="G27" s="46"/>
      <c r="H27" s="46"/>
      <c r="I27" s="46"/>
      <c r="J27" s="46"/>
      <c r="K27" s="47"/>
      <c r="L27" s="28"/>
      <c r="M27" s="30" t="s">
        <v>37</v>
      </c>
      <c r="N27" s="29"/>
      <c r="O27" s="43">
        <f t="shared" si="0"/>
        <v>0</v>
      </c>
      <c r="P27" s="44"/>
    </row>
    <row r="28" spans="2:16" ht="27.6" customHeight="1" x14ac:dyDescent="0.45">
      <c r="B28" s="18">
        <f t="shared" si="1"/>
        <v>45827</v>
      </c>
      <c r="C28" s="16">
        <f t="shared" si="1"/>
        <v>45827</v>
      </c>
      <c r="D28" s="45"/>
      <c r="E28" s="47"/>
      <c r="F28" s="45"/>
      <c r="G28" s="46"/>
      <c r="H28" s="46"/>
      <c r="I28" s="46"/>
      <c r="J28" s="46"/>
      <c r="K28" s="47"/>
      <c r="L28" s="28"/>
      <c r="M28" s="30" t="s">
        <v>37</v>
      </c>
      <c r="N28" s="29"/>
      <c r="O28" s="43">
        <f t="shared" si="0"/>
        <v>0</v>
      </c>
      <c r="P28" s="44"/>
    </row>
    <row r="29" spans="2:16" ht="27.6" customHeight="1" x14ac:dyDescent="0.45">
      <c r="B29" s="18">
        <f t="shared" si="1"/>
        <v>45828</v>
      </c>
      <c r="C29" s="16">
        <f t="shared" si="1"/>
        <v>45828</v>
      </c>
      <c r="D29" s="45"/>
      <c r="E29" s="47"/>
      <c r="F29" s="45"/>
      <c r="G29" s="46"/>
      <c r="H29" s="46"/>
      <c r="I29" s="46"/>
      <c r="J29" s="46"/>
      <c r="K29" s="47"/>
      <c r="L29" s="28"/>
      <c r="M29" s="30" t="s">
        <v>37</v>
      </c>
      <c r="N29" s="29"/>
      <c r="O29" s="43">
        <f t="shared" si="0"/>
        <v>0</v>
      </c>
      <c r="P29" s="44"/>
    </row>
    <row r="30" spans="2:16" ht="27.6" customHeight="1" x14ac:dyDescent="0.45">
      <c r="B30" s="18">
        <f t="shared" si="1"/>
        <v>45829</v>
      </c>
      <c r="C30" s="16">
        <f t="shared" si="1"/>
        <v>45829</v>
      </c>
      <c r="D30" s="45"/>
      <c r="E30" s="47"/>
      <c r="F30" s="45"/>
      <c r="G30" s="46"/>
      <c r="H30" s="46"/>
      <c r="I30" s="46"/>
      <c r="J30" s="46"/>
      <c r="K30" s="47"/>
      <c r="L30" s="28"/>
      <c r="M30" s="30" t="s">
        <v>37</v>
      </c>
      <c r="N30" s="29"/>
      <c r="O30" s="43">
        <f t="shared" si="0"/>
        <v>0</v>
      </c>
      <c r="P30" s="44"/>
    </row>
    <row r="31" spans="2:16" ht="27.6" customHeight="1" x14ac:dyDescent="0.45">
      <c r="B31" s="18">
        <f t="shared" si="1"/>
        <v>45830</v>
      </c>
      <c r="C31" s="16">
        <f t="shared" si="1"/>
        <v>45830</v>
      </c>
      <c r="D31" s="45"/>
      <c r="E31" s="47"/>
      <c r="F31" s="45"/>
      <c r="G31" s="46"/>
      <c r="H31" s="46"/>
      <c r="I31" s="46"/>
      <c r="J31" s="46"/>
      <c r="K31" s="47"/>
      <c r="L31" s="28"/>
      <c r="M31" s="30" t="s">
        <v>37</v>
      </c>
      <c r="N31" s="29"/>
      <c r="O31" s="43">
        <f t="shared" si="0"/>
        <v>0</v>
      </c>
      <c r="P31" s="44"/>
    </row>
    <row r="32" spans="2:16" ht="27.6" customHeight="1" x14ac:dyDescent="0.45">
      <c r="B32" s="18">
        <f t="shared" si="1"/>
        <v>45831</v>
      </c>
      <c r="C32" s="16">
        <f t="shared" si="1"/>
        <v>45831</v>
      </c>
      <c r="D32" s="45"/>
      <c r="E32" s="47"/>
      <c r="F32" s="45"/>
      <c r="G32" s="46"/>
      <c r="H32" s="46"/>
      <c r="I32" s="46"/>
      <c r="J32" s="46"/>
      <c r="K32" s="47"/>
      <c r="L32" s="28"/>
      <c r="M32" s="30" t="s">
        <v>37</v>
      </c>
      <c r="N32" s="29"/>
      <c r="O32" s="43">
        <f t="shared" si="0"/>
        <v>0</v>
      </c>
      <c r="P32" s="44"/>
    </row>
    <row r="33" spans="2:16" ht="27.6" customHeight="1" x14ac:dyDescent="0.45">
      <c r="B33" s="18">
        <f t="shared" si="1"/>
        <v>45832</v>
      </c>
      <c r="C33" s="16">
        <f t="shared" si="1"/>
        <v>45832</v>
      </c>
      <c r="D33" s="45"/>
      <c r="E33" s="47"/>
      <c r="F33" s="45"/>
      <c r="G33" s="46"/>
      <c r="H33" s="46"/>
      <c r="I33" s="46"/>
      <c r="J33" s="46"/>
      <c r="K33" s="47"/>
      <c r="L33" s="28"/>
      <c r="M33" s="30" t="s">
        <v>37</v>
      </c>
      <c r="N33" s="29"/>
      <c r="O33" s="43">
        <f t="shared" si="0"/>
        <v>0</v>
      </c>
      <c r="P33" s="44"/>
    </row>
    <row r="34" spans="2:16" ht="27.6" customHeight="1" x14ac:dyDescent="0.45">
      <c r="B34" s="18">
        <f t="shared" si="1"/>
        <v>45833</v>
      </c>
      <c r="C34" s="16">
        <f t="shared" si="1"/>
        <v>45833</v>
      </c>
      <c r="D34" s="45"/>
      <c r="E34" s="47"/>
      <c r="F34" s="45"/>
      <c r="G34" s="46"/>
      <c r="H34" s="46"/>
      <c r="I34" s="46"/>
      <c r="J34" s="46"/>
      <c r="K34" s="47"/>
      <c r="L34" s="28"/>
      <c r="M34" s="30" t="s">
        <v>37</v>
      </c>
      <c r="N34" s="29"/>
      <c r="O34" s="43">
        <f t="shared" si="0"/>
        <v>0</v>
      </c>
      <c r="P34" s="44"/>
    </row>
    <row r="35" spans="2:16" ht="27.6" customHeight="1" x14ac:dyDescent="0.45">
      <c r="B35" s="18">
        <f t="shared" si="1"/>
        <v>45834</v>
      </c>
      <c r="C35" s="16">
        <f t="shared" si="1"/>
        <v>45834</v>
      </c>
      <c r="D35" s="45"/>
      <c r="E35" s="47"/>
      <c r="F35" s="45"/>
      <c r="G35" s="46"/>
      <c r="H35" s="46"/>
      <c r="I35" s="46"/>
      <c r="J35" s="46"/>
      <c r="K35" s="47"/>
      <c r="L35" s="28"/>
      <c r="M35" s="30" t="s">
        <v>37</v>
      </c>
      <c r="N35" s="29"/>
      <c r="O35" s="43">
        <f t="shared" si="0"/>
        <v>0</v>
      </c>
      <c r="P35" s="44"/>
    </row>
    <row r="36" spans="2:16" ht="27.6" customHeight="1" x14ac:dyDescent="0.45">
      <c r="B36" s="18">
        <f t="shared" si="1"/>
        <v>45835</v>
      </c>
      <c r="C36" s="16">
        <f t="shared" si="1"/>
        <v>45835</v>
      </c>
      <c r="D36" s="45"/>
      <c r="E36" s="47"/>
      <c r="F36" s="45"/>
      <c r="G36" s="46"/>
      <c r="H36" s="46"/>
      <c r="I36" s="46"/>
      <c r="J36" s="46"/>
      <c r="K36" s="47"/>
      <c r="L36" s="28"/>
      <c r="M36" s="30" t="s">
        <v>37</v>
      </c>
      <c r="N36" s="29"/>
      <c r="O36" s="43">
        <f t="shared" si="0"/>
        <v>0</v>
      </c>
      <c r="P36" s="44"/>
    </row>
    <row r="37" spans="2:16" ht="27.6" customHeight="1" x14ac:dyDescent="0.45">
      <c r="B37" s="18">
        <f t="shared" si="1"/>
        <v>45836</v>
      </c>
      <c r="C37" s="16">
        <f t="shared" si="1"/>
        <v>45836</v>
      </c>
      <c r="D37" s="45"/>
      <c r="E37" s="47"/>
      <c r="F37" s="45"/>
      <c r="G37" s="46"/>
      <c r="H37" s="46"/>
      <c r="I37" s="46"/>
      <c r="J37" s="46"/>
      <c r="K37" s="47"/>
      <c r="L37" s="28"/>
      <c r="M37" s="30" t="s">
        <v>37</v>
      </c>
      <c r="N37" s="29"/>
      <c r="O37" s="43">
        <f t="shared" si="0"/>
        <v>0</v>
      </c>
      <c r="P37" s="44"/>
    </row>
    <row r="38" spans="2:16" ht="27.6" customHeight="1" x14ac:dyDescent="0.45">
      <c r="B38" s="18">
        <f t="shared" si="1"/>
        <v>45837</v>
      </c>
      <c r="C38" s="16">
        <f t="shared" si="1"/>
        <v>45837</v>
      </c>
      <c r="D38" s="45"/>
      <c r="E38" s="47"/>
      <c r="F38" s="45"/>
      <c r="G38" s="46"/>
      <c r="H38" s="46"/>
      <c r="I38" s="46"/>
      <c r="J38" s="46"/>
      <c r="K38" s="47"/>
      <c r="L38" s="28"/>
      <c r="M38" s="30" t="s">
        <v>37</v>
      </c>
      <c r="N38" s="29"/>
      <c r="O38" s="43">
        <f t="shared" si="0"/>
        <v>0</v>
      </c>
      <c r="P38" s="44"/>
    </row>
    <row r="39" spans="2:16" ht="27.6" customHeight="1" x14ac:dyDescent="0.45">
      <c r="B39" s="18">
        <f t="shared" si="1"/>
        <v>45838</v>
      </c>
      <c r="C39" s="16">
        <f t="shared" si="1"/>
        <v>45838</v>
      </c>
      <c r="D39" s="45"/>
      <c r="E39" s="47"/>
      <c r="F39" s="45"/>
      <c r="G39" s="46"/>
      <c r="H39" s="46"/>
      <c r="I39" s="46"/>
      <c r="J39" s="46"/>
      <c r="K39" s="47"/>
      <c r="L39" s="28"/>
      <c r="M39" s="30" t="s">
        <v>37</v>
      </c>
      <c r="N39" s="29"/>
      <c r="O39" s="43">
        <f t="shared" si="0"/>
        <v>0</v>
      </c>
      <c r="P39" s="44"/>
    </row>
    <row r="40" spans="2:16" ht="27.6" customHeight="1" thickBot="1" x14ac:dyDescent="0.5">
      <c r="B40" s="19" t="str">
        <f t="shared" si="1"/>
        <v/>
      </c>
      <c r="C40" s="17" t="str">
        <f t="shared" si="1"/>
        <v/>
      </c>
      <c r="D40" s="48"/>
      <c r="E40" s="50"/>
      <c r="F40" s="48"/>
      <c r="G40" s="49"/>
      <c r="H40" s="49"/>
      <c r="I40" s="49"/>
      <c r="J40" s="49"/>
      <c r="K40" s="50"/>
      <c r="L40" s="34"/>
      <c r="M40" s="31" t="s">
        <v>37</v>
      </c>
      <c r="N40" s="35"/>
      <c r="O40" s="38">
        <f t="shared" si="0"/>
        <v>0</v>
      </c>
      <c r="P40" s="39"/>
    </row>
    <row r="41" spans="2:16" ht="6.75" customHeight="1" x14ac:dyDescent="0.45">
      <c r="O41" s="32"/>
      <c r="P41" s="32"/>
    </row>
    <row r="42" spans="2:16" ht="9.75" customHeight="1" x14ac:dyDescent="0.45"/>
  </sheetData>
  <mergeCells count="106">
    <mergeCell ref="D9:E9"/>
    <mergeCell ref="D10:E10"/>
    <mergeCell ref="F9:K9"/>
    <mergeCell ref="F10:K10"/>
    <mergeCell ref="F6:G6"/>
    <mergeCell ref="B6:C6"/>
    <mergeCell ref="H6:I6"/>
    <mergeCell ref="G3:I3"/>
    <mergeCell ref="G4:I4"/>
    <mergeCell ref="J3:P3"/>
    <mergeCell ref="J4:P4"/>
    <mergeCell ref="J6:L6"/>
    <mergeCell ref="N6:P6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F16:K16"/>
    <mergeCell ref="F17:K17"/>
    <mergeCell ref="F18:K18"/>
    <mergeCell ref="F19:K19"/>
    <mergeCell ref="F20:K20"/>
    <mergeCell ref="F11:K11"/>
    <mergeCell ref="F12:K12"/>
    <mergeCell ref="F13:K13"/>
    <mergeCell ref="F14:K14"/>
    <mergeCell ref="F15:K15"/>
    <mergeCell ref="F26:K26"/>
    <mergeCell ref="F27:K27"/>
    <mergeCell ref="F28:K28"/>
    <mergeCell ref="F29:K29"/>
    <mergeCell ref="F30:K30"/>
    <mergeCell ref="F21:K21"/>
    <mergeCell ref="F22:K22"/>
    <mergeCell ref="F23:K23"/>
    <mergeCell ref="F24:K24"/>
    <mergeCell ref="F25:K25"/>
    <mergeCell ref="F36:K36"/>
    <mergeCell ref="F37:K37"/>
    <mergeCell ref="F38:K38"/>
    <mergeCell ref="F39:K39"/>
    <mergeCell ref="F40:K40"/>
    <mergeCell ref="F31:K31"/>
    <mergeCell ref="F32:K32"/>
    <mergeCell ref="F33:K33"/>
    <mergeCell ref="F34:K34"/>
    <mergeCell ref="F35:K35"/>
    <mergeCell ref="O16:P16"/>
    <mergeCell ref="O17:P17"/>
    <mergeCell ref="O18:P18"/>
    <mergeCell ref="O19:P19"/>
    <mergeCell ref="O10:P10"/>
    <mergeCell ref="O11:P11"/>
    <mergeCell ref="O12:P12"/>
    <mergeCell ref="O13:P13"/>
    <mergeCell ref="O14:P14"/>
    <mergeCell ref="O40:P40"/>
    <mergeCell ref="O9:P9"/>
    <mergeCell ref="K1:P1"/>
    <mergeCell ref="O35:P35"/>
    <mergeCell ref="O36:P36"/>
    <mergeCell ref="O37:P37"/>
    <mergeCell ref="O38:P38"/>
    <mergeCell ref="O39:P39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</mergeCells>
  <phoneticPr fontId="3"/>
  <printOptions horizontalCentered="1"/>
  <pageMargins left="0.23622047244094491" right="0.23622047244094491" top="0.74803149606299213" bottom="0.35433070866141736" header="0.31496062992125984" footer="0.31496062992125984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31AC-4437-4EF0-AF36-D764D3338AFC}">
  <sheetPr>
    <tabColor rgb="FFFFFF00"/>
    <pageSetUpPr fitToPage="1"/>
  </sheetPr>
  <dimension ref="B1:P41"/>
  <sheetViews>
    <sheetView zoomScaleNormal="100" workbookViewId="0">
      <selection activeCell="L14" sqref="L14"/>
    </sheetView>
  </sheetViews>
  <sheetFormatPr defaultRowHeight="18" x14ac:dyDescent="0.45"/>
  <cols>
    <col min="1" max="1" width="2.19921875" customWidth="1"/>
    <col min="2" max="3" width="8" customWidth="1"/>
    <col min="4" max="4" width="11.09765625" customWidth="1"/>
    <col min="5" max="5" width="3.59765625" customWidth="1"/>
    <col min="6" max="6" width="11" customWidth="1"/>
    <col min="7" max="11" width="8.69921875" customWidth="1"/>
    <col min="12" max="12" width="15.09765625" bestFit="1" customWidth="1"/>
    <col min="13" max="13" width="2.8984375" bestFit="1" customWidth="1"/>
    <col min="14" max="14" width="13" bestFit="1" customWidth="1"/>
    <col min="15" max="16" width="8.69921875" customWidth="1"/>
    <col min="17" max="17" width="2.19921875" customWidth="1"/>
  </cols>
  <sheetData>
    <row r="1" spans="2:16" ht="32.25" customHeight="1" x14ac:dyDescent="0.45">
      <c r="B1" s="1" t="s">
        <v>8</v>
      </c>
      <c r="K1" s="42" t="s">
        <v>7</v>
      </c>
      <c r="L1" s="42"/>
      <c r="M1" s="42"/>
      <c r="N1" s="42"/>
      <c r="O1" s="42"/>
      <c r="P1" s="42"/>
    </row>
    <row r="2" spans="2:16" ht="8.25" customHeight="1" thickBot="1" x14ac:dyDescent="0.5"/>
    <row r="3" spans="2:16" ht="29.25" customHeight="1" x14ac:dyDescent="0.45">
      <c r="B3" s="2" t="s">
        <v>0</v>
      </c>
      <c r="C3" s="3" t="s">
        <v>1</v>
      </c>
      <c r="D3" s="4" t="s">
        <v>2</v>
      </c>
      <c r="E3" s="5" t="s">
        <v>3</v>
      </c>
      <c r="F3" s="6" t="s">
        <v>4</v>
      </c>
      <c r="G3" s="40" t="s">
        <v>5</v>
      </c>
      <c r="H3" s="52"/>
      <c r="I3" s="51"/>
      <c r="J3" s="52" t="s">
        <v>9</v>
      </c>
      <c r="K3" s="52"/>
      <c r="L3" s="52"/>
      <c r="M3" s="52"/>
      <c r="N3" s="52"/>
      <c r="O3" s="52"/>
      <c r="P3" s="41"/>
    </row>
    <row r="4" spans="2:16" ht="29.25" customHeight="1" thickBot="1" x14ac:dyDescent="0.5">
      <c r="B4" s="7">
        <v>2024</v>
      </c>
      <c r="C4" s="8">
        <v>9</v>
      </c>
      <c r="D4" s="10">
        <f>IF(OR(B4="",C4=""),"",DATE(B4,C4,1))</f>
        <v>45536</v>
      </c>
      <c r="E4" s="9" t="str">
        <f>IF(D4="","","～")</f>
        <v>～</v>
      </c>
      <c r="F4" s="11">
        <f>IF(OR(B4="",C4=""),"",DATE(B4,C4+1,1)-1)</f>
        <v>45565</v>
      </c>
      <c r="G4" s="58" t="s">
        <v>41</v>
      </c>
      <c r="H4" s="59"/>
      <c r="I4" s="60"/>
      <c r="J4" s="59" t="s">
        <v>21</v>
      </c>
      <c r="K4" s="59"/>
      <c r="L4" s="59"/>
      <c r="M4" s="59"/>
      <c r="N4" s="59"/>
      <c r="O4" s="59"/>
      <c r="P4" s="61"/>
    </row>
    <row r="5" spans="2:16" ht="8.25" customHeight="1" thickBot="1" x14ac:dyDescent="0.5"/>
    <row r="6" spans="2:16" ht="35.25" customHeight="1" thickBot="1" x14ac:dyDescent="0.5">
      <c r="B6" s="55" t="s">
        <v>13</v>
      </c>
      <c r="C6" s="56"/>
      <c r="D6" s="24" cm="1">
        <f t="array" ref="D6">COUNT(IF($O$10:$P$40&lt;&gt;0,O10:P40))</f>
        <v>4</v>
      </c>
      <c r="E6" s="23" t="s">
        <v>14</v>
      </c>
      <c r="F6" s="53" t="s">
        <v>15</v>
      </c>
      <c r="G6" s="54"/>
      <c r="H6" s="57">
        <f>SUM($O$10:$P$40)</f>
        <v>436</v>
      </c>
      <c r="I6" s="57"/>
      <c r="J6" s="62" t="s">
        <v>16</v>
      </c>
      <c r="K6" s="63"/>
      <c r="L6" s="63"/>
      <c r="M6" s="81"/>
      <c r="N6" s="64">
        <f>$H$6*15</f>
        <v>6540</v>
      </c>
      <c r="O6" s="64"/>
      <c r="P6" s="65"/>
    </row>
    <row r="7" spans="2:16" ht="8.25" customHeight="1" x14ac:dyDescent="0.45"/>
    <row r="8" spans="2:16" ht="18.600000000000001" thickBot="1" x14ac:dyDescent="0.5">
      <c r="B8" t="s">
        <v>17</v>
      </c>
    </row>
    <row r="9" spans="2:16" ht="27.6" customHeight="1" x14ac:dyDescent="0.45">
      <c r="B9" s="13" t="s">
        <v>6</v>
      </c>
      <c r="C9" s="12" t="s">
        <v>10</v>
      </c>
      <c r="D9" s="40" t="s">
        <v>32</v>
      </c>
      <c r="E9" s="51"/>
      <c r="F9" s="40" t="s">
        <v>11</v>
      </c>
      <c r="G9" s="52"/>
      <c r="H9" s="52"/>
      <c r="I9" s="52"/>
      <c r="J9" s="52"/>
      <c r="K9" s="51"/>
      <c r="L9" s="4" t="s">
        <v>40</v>
      </c>
      <c r="M9" s="33"/>
      <c r="N9" s="6" t="s">
        <v>39</v>
      </c>
      <c r="O9" s="40" t="s">
        <v>12</v>
      </c>
      <c r="P9" s="41"/>
    </row>
    <row r="10" spans="2:16" ht="27.6" customHeight="1" x14ac:dyDescent="0.45">
      <c r="B10" s="18">
        <f>D4</f>
        <v>45536</v>
      </c>
      <c r="C10" s="16">
        <f>D4</f>
        <v>45536</v>
      </c>
      <c r="D10" s="45"/>
      <c r="E10" s="47"/>
      <c r="F10" s="45"/>
      <c r="G10" s="46"/>
      <c r="H10" s="46"/>
      <c r="I10" s="46"/>
      <c r="J10" s="46"/>
      <c r="K10" s="47"/>
      <c r="L10" s="28"/>
      <c r="M10" s="80" t="s">
        <v>38</v>
      </c>
      <c r="N10" s="29"/>
      <c r="O10" s="43">
        <f>N10-L10</f>
        <v>0</v>
      </c>
      <c r="P10" s="44"/>
    </row>
    <row r="11" spans="2:16" ht="27.6" customHeight="1" x14ac:dyDescent="0.45">
      <c r="B11" s="18">
        <f>IF(B10&gt;=$F$4,"",B10+1)</f>
        <v>45537</v>
      </c>
      <c r="C11" s="16">
        <f>IF(C10&gt;=$F$4,"",C10+1)</f>
        <v>45537</v>
      </c>
      <c r="D11" s="45"/>
      <c r="E11" s="47"/>
      <c r="F11" s="45"/>
      <c r="G11" s="46"/>
      <c r="H11" s="46"/>
      <c r="I11" s="46"/>
      <c r="J11" s="46"/>
      <c r="K11" s="47"/>
      <c r="L11" s="28"/>
      <c r="M11" s="80" t="s">
        <v>37</v>
      </c>
      <c r="N11" s="29"/>
      <c r="O11" s="43">
        <f t="shared" ref="O11:O40" si="0">N11-L11</f>
        <v>0</v>
      </c>
      <c r="P11" s="44"/>
    </row>
    <row r="12" spans="2:16" ht="27.6" customHeight="1" x14ac:dyDescent="0.45">
      <c r="B12" s="18">
        <f t="shared" ref="B12:C27" si="1">IF(B11&gt;=$F$4,"",B11+1)</f>
        <v>45538</v>
      </c>
      <c r="C12" s="16">
        <f t="shared" si="1"/>
        <v>45538</v>
      </c>
      <c r="D12" s="45"/>
      <c r="E12" s="47"/>
      <c r="F12" s="45"/>
      <c r="G12" s="46"/>
      <c r="H12" s="46"/>
      <c r="I12" s="46"/>
      <c r="J12" s="46"/>
      <c r="K12" s="47"/>
      <c r="L12" s="28"/>
      <c r="M12" s="80" t="s">
        <v>37</v>
      </c>
      <c r="N12" s="29"/>
      <c r="O12" s="43">
        <f t="shared" si="0"/>
        <v>0</v>
      </c>
      <c r="P12" s="44"/>
    </row>
    <row r="13" spans="2:16" ht="27.6" customHeight="1" x14ac:dyDescent="0.45">
      <c r="B13" s="18">
        <f t="shared" si="1"/>
        <v>45539</v>
      </c>
      <c r="C13" s="16">
        <f t="shared" si="1"/>
        <v>45539</v>
      </c>
      <c r="D13" s="45"/>
      <c r="E13" s="47"/>
      <c r="F13" s="45"/>
      <c r="G13" s="46"/>
      <c r="H13" s="46"/>
      <c r="I13" s="46"/>
      <c r="J13" s="46"/>
      <c r="K13" s="47"/>
      <c r="L13" s="28"/>
      <c r="M13" s="80" t="s">
        <v>37</v>
      </c>
      <c r="N13" s="29"/>
      <c r="O13" s="43">
        <f t="shared" si="0"/>
        <v>0</v>
      </c>
      <c r="P13" s="44"/>
    </row>
    <row r="14" spans="2:16" ht="27.6" customHeight="1" x14ac:dyDescent="0.45">
      <c r="B14" s="18">
        <f t="shared" si="1"/>
        <v>45540</v>
      </c>
      <c r="C14" s="16">
        <f t="shared" si="1"/>
        <v>45540</v>
      </c>
      <c r="D14" s="45"/>
      <c r="E14" s="47"/>
      <c r="F14" s="45"/>
      <c r="G14" s="46"/>
      <c r="H14" s="46"/>
      <c r="I14" s="46"/>
      <c r="J14" s="46"/>
      <c r="K14" s="47"/>
      <c r="L14" s="28"/>
      <c r="M14" s="80" t="s">
        <v>37</v>
      </c>
      <c r="N14" s="29"/>
      <c r="O14" s="43">
        <f t="shared" si="0"/>
        <v>0</v>
      </c>
      <c r="P14" s="44"/>
    </row>
    <row r="15" spans="2:16" ht="27.6" customHeight="1" x14ac:dyDescent="0.45">
      <c r="B15" s="18">
        <f t="shared" si="1"/>
        <v>45541</v>
      </c>
      <c r="C15" s="16">
        <f t="shared" si="1"/>
        <v>45541</v>
      </c>
      <c r="D15" s="45"/>
      <c r="E15" s="47"/>
      <c r="F15" s="45"/>
      <c r="G15" s="46"/>
      <c r="H15" s="46"/>
      <c r="I15" s="46"/>
      <c r="J15" s="46"/>
      <c r="K15" s="47"/>
      <c r="L15" s="28"/>
      <c r="M15" s="80" t="s">
        <v>37</v>
      </c>
      <c r="N15" s="29"/>
      <c r="O15" s="43">
        <f t="shared" si="0"/>
        <v>0</v>
      </c>
      <c r="P15" s="44"/>
    </row>
    <row r="16" spans="2:16" ht="27.6" customHeight="1" x14ac:dyDescent="0.45">
      <c r="B16" s="18">
        <f t="shared" si="1"/>
        <v>45542</v>
      </c>
      <c r="C16" s="16">
        <f t="shared" si="1"/>
        <v>45542</v>
      </c>
      <c r="D16" s="45"/>
      <c r="E16" s="47"/>
      <c r="F16" s="45"/>
      <c r="G16" s="46"/>
      <c r="H16" s="46"/>
      <c r="I16" s="46"/>
      <c r="J16" s="46"/>
      <c r="K16" s="47"/>
      <c r="L16" s="28"/>
      <c r="M16" s="80" t="s">
        <v>37</v>
      </c>
      <c r="N16" s="29"/>
      <c r="O16" s="43">
        <f t="shared" si="0"/>
        <v>0</v>
      </c>
      <c r="P16" s="44"/>
    </row>
    <row r="17" spans="2:16" ht="27.6" customHeight="1" x14ac:dyDescent="0.45">
      <c r="B17" s="18">
        <f t="shared" si="1"/>
        <v>45543</v>
      </c>
      <c r="C17" s="16">
        <f t="shared" si="1"/>
        <v>45543</v>
      </c>
      <c r="D17" s="45"/>
      <c r="E17" s="47"/>
      <c r="F17" s="45"/>
      <c r="G17" s="46"/>
      <c r="H17" s="46"/>
      <c r="I17" s="46"/>
      <c r="J17" s="46"/>
      <c r="K17" s="47"/>
      <c r="L17" s="28"/>
      <c r="M17" s="80" t="s">
        <v>37</v>
      </c>
      <c r="N17" s="29"/>
      <c r="O17" s="43">
        <f t="shared" si="0"/>
        <v>0</v>
      </c>
      <c r="P17" s="44"/>
    </row>
    <row r="18" spans="2:16" ht="27.6" customHeight="1" x14ac:dyDescent="0.45">
      <c r="B18" s="18">
        <f t="shared" si="1"/>
        <v>45544</v>
      </c>
      <c r="C18" s="16">
        <f t="shared" si="1"/>
        <v>45544</v>
      </c>
      <c r="D18" s="45"/>
      <c r="E18" s="47"/>
      <c r="F18" s="45"/>
      <c r="G18" s="46"/>
      <c r="H18" s="46"/>
      <c r="I18" s="46"/>
      <c r="J18" s="46"/>
      <c r="K18" s="47"/>
      <c r="L18" s="28"/>
      <c r="M18" s="80" t="s">
        <v>37</v>
      </c>
      <c r="N18" s="29"/>
      <c r="O18" s="43">
        <f t="shared" si="0"/>
        <v>0</v>
      </c>
      <c r="P18" s="44"/>
    </row>
    <row r="19" spans="2:16" ht="27.6" customHeight="1" x14ac:dyDescent="0.45">
      <c r="B19" s="18">
        <f t="shared" si="1"/>
        <v>45545</v>
      </c>
      <c r="C19" s="16">
        <f t="shared" si="1"/>
        <v>45545</v>
      </c>
      <c r="D19" s="45"/>
      <c r="E19" s="47"/>
      <c r="F19" s="45"/>
      <c r="G19" s="46"/>
      <c r="H19" s="46"/>
      <c r="I19" s="46"/>
      <c r="J19" s="46"/>
      <c r="K19" s="47"/>
      <c r="L19" s="28"/>
      <c r="M19" s="80" t="s">
        <v>37</v>
      </c>
      <c r="N19" s="29"/>
      <c r="O19" s="43">
        <f t="shared" si="0"/>
        <v>0</v>
      </c>
      <c r="P19" s="44"/>
    </row>
    <row r="20" spans="2:16" ht="27.6" customHeight="1" x14ac:dyDescent="0.45">
      <c r="B20" s="18">
        <f t="shared" si="1"/>
        <v>45546</v>
      </c>
      <c r="C20" s="16">
        <f t="shared" si="1"/>
        <v>45546</v>
      </c>
      <c r="D20" s="45"/>
      <c r="E20" s="47"/>
      <c r="F20" s="45"/>
      <c r="G20" s="46"/>
      <c r="H20" s="46"/>
      <c r="I20" s="46"/>
      <c r="J20" s="46"/>
      <c r="K20" s="47"/>
      <c r="L20" s="28"/>
      <c r="M20" s="80" t="s">
        <v>37</v>
      </c>
      <c r="N20" s="29"/>
      <c r="O20" s="43">
        <f t="shared" si="0"/>
        <v>0</v>
      </c>
      <c r="P20" s="44"/>
    </row>
    <row r="21" spans="2:16" ht="27.6" customHeight="1" x14ac:dyDescent="0.45">
      <c r="B21" s="18">
        <f t="shared" si="1"/>
        <v>45547</v>
      </c>
      <c r="C21" s="16">
        <f t="shared" si="1"/>
        <v>45547</v>
      </c>
      <c r="D21" s="45"/>
      <c r="E21" s="47"/>
      <c r="F21" s="45"/>
      <c r="G21" s="46"/>
      <c r="H21" s="46"/>
      <c r="I21" s="46"/>
      <c r="J21" s="46"/>
      <c r="K21" s="47"/>
      <c r="L21" s="28"/>
      <c r="M21" s="80" t="s">
        <v>37</v>
      </c>
      <c r="N21" s="29"/>
      <c r="O21" s="43">
        <f t="shared" si="0"/>
        <v>0</v>
      </c>
      <c r="P21" s="44"/>
    </row>
    <row r="22" spans="2:16" ht="27.6" customHeight="1" x14ac:dyDescent="0.45">
      <c r="B22" s="18">
        <f t="shared" si="1"/>
        <v>45548</v>
      </c>
      <c r="C22" s="16">
        <f t="shared" si="1"/>
        <v>45548</v>
      </c>
      <c r="D22" s="45"/>
      <c r="E22" s="47"/>
      <c r="F22" s="45"/>
      <c r="G22" s="46"/>
      <c r="H22" s="46"/>
      <c r="I22" s="46"/>
      <c r="J22" s="46"/>
      <c r="K22" s="47"/>
      <c r="L22" s="28"/>
      <c r="M22" s="80" t="s">
        <v>37</v>
      </c>
      <c r="N22" s="29"/>
      <c r="O22" s="43">
        <f t="shared" si="0"/>
        <v>0</v>
      </c>
      <c r="P22" s="44"/>
    </row>
    <row r="23" spans="2:16" ht="27.6" customHeight="1" x14ac:dyDescent="0.45">
      <c r="B23" s="18">
        <f t="shared" si="1"/>
        <v>45549</v>
      </c>
      <c r="C23" s="16">
        <f t="shared" si="1"/>
        <v>45549</v>
      </c>
      <c r="D23" s="45"/>
      <c r="E23" s="47"/>
      <c r="F23" s="45"/>
      <c r="G23" s="46"/>
      <c r="H23" s="46"/>
      <c r="I23" s="46"/>
      <c r="J23" s="46"/>
      <c r="K23" s="47"/>
      <c r="L23" s="28"/>
      <c r="M23" s="80" t="s">
        <v>37</v>
      </c>
      <c r="N23" s="29"/>
      <c r="O23" s="43">
        <f t="shared" si="0"/>
        <v>0</v>
      </c>
      <c r="P23" s="44"/>
    </row>
    <row r="24" spans="2:16" ht="27.6" customHeight="1" x14ac:dyDescent="0.45">
      <c r="B24" s="18">
        <f t="shared" si="1"/>
        <v>45550</v>
      </c>
      <c r="C24" s="16">
        <f t="shared" si="1"/>
        <v>45550</v>
      </c>
      <c r="D24" s="45"/>
      <c r="E24" s="47"/>
      <c r="F24" s="45"/>
      <c r="G24" s="46"/>
      <c r="H24" s="46"/>
      <c r="I24" s="46"/>
      <c r="J24" s="46"/>
      <c r="K24" s="47"/>
      <c r="L24" s="28"/>
      <c r="M24" s="80" t="s">
        <v>37</v>
      </c>
      <c r="N24" s="29"/>
      <c r="O24" s="43">
        <f t="shared" si="0"/>
        <v>0</v>
      </c>
      <c r="P24" s="44"/>
    </row>
    <row r="25" spans="2:16" ht="27.6" customHeight="1" x14ac:dyDescent="0.45">
      <c r="B25" s="18">
        <f t="shared" si="1"/>
        <v>45551</v>
      </c>
      <c r="C25" s="16">
        <f t="shared" si="1"/>
        <v>45551</v>
      </c>
      <c r="D25" s="70" t="s">
        <v>33</v>
      </c>
      <c r="E25" s="71"/>
      <c r="F25" s="45" t="s">
        <v>43</v>
      </c>
      <c r="G25" s="46"/>
      <c r="H25" s="46"/>
      <c r="I25" s="46"/>
      <c r="J25" s="46"/>
      <c r="K25" s="47"/>
      <c r="L25" s="28">
        <v>72535</v>
      </c>
      <c r="M25" s="80" t="s">
        <v>38</v>
      </c>
      <c r="N25" s="29">
        <v>72651</v>
      </c>
      <c r="O25" s="43">
        <f t="shared" si="0"/>
        <v>116</v>
      </c>
      <c r="P25" s="44"/>
    </row>
    <row r="26" spans="2:16" ht="27.6" customHeight="1" x14ac:dyDescent="0.45">
      <c r="B26" s="18">
        <f t="shared" si="1"/>
        <v>45552</v>
      </c>
      <c r="C26" s="16">
        <f t="shared" si="1"/>
        <v>45552</v>
      </c>
      <c r="D26" s="70" t="s">
        <v>34</v>
      </c>
      <c r="E26" s="71"/>
      <c r="F26" s="45" t="s">
        <v>44</v>
      </c>
      <c r="G26" s="46"/>
      <c r="H26" s="46"/>
      <c r="I26" s="46"/>
      <c r="J26" s="46"/>
      <c r="K26" s="47"/>
      <c r="L26" s="28">
        <v>72671</v>
      </c>
      <c r="M26" s="80" t="s">
        <v>37</v>
      </c>
      <c r="N26" s="29">
        <v>72703</v>
      </c>
      <c r="O26" s="43">
        <f t="shared" si="0"/>
        <v>32</v>
      </c>
      <c r="P26" s="44"/>
    </row>
    <row r="27" spans="2:16" ht="27.6" customHeight="1" x14ac:dyDescent="0.45">
      <c r="B27" s="18">
        <f t="shared" si="1"/>
        <v>45553</v>
      </c>
      <c r="C27" s="16">
        <f t="shared" si="1"/>
        <v>45553</v>
      </c>
      <c r="D27" s="45"/>
      <c r="E27" s="47"/>
      <c r="F27" s="45"/>
      <c r="G27" s="46"/>
      <c r="H27" s="46"/>
      <c r="I27" s="46"/>
      <c r="J27" s="46"/>
      <c r="K27" s="47"/>
      <c r="L27" s="28"/>
      <c r="M27" s="80" t="s">
        <v>37</v>
      </c>
      <c r="N27" s="29"/>
      <c r="O27" s="43">
        <f t="shared" si="0"/>
        <v>0</v>
      </c>
      <c r="P27" s="44"/>
    </row>
    <row r="28" spans="2:16" ht="27.6" customHeight="1" x14ac:dyDescent="0.45">
      <c r="B28" s="18">
        <f t="shared" ref="B28:C40" si="2">IF(B27&gt;=$F$4,"",B27+1)</f>
        <v>45554</v>
      </c>
      <c r="C28" s="16">
        <f t="shared" si="2"/>
        <v>45554</v>
      </c>
      <c r="D28" s="70" t="s">
        <v>35</v>
      </c>
      <c r="E28" s="71"/>
      <c r="F28" s="45" t="s">
        <v>45</v>
      </c>
      <c r="G28" s="46"/>
      <c r="H28" s="46"/>
      <c r="I28" s="46"/>
      <c r="J28" s="46"/>
      <c r="K28" s="47"/>
      <c r="L28" s="28">
        <v>72723</v>
      </c>
      <c r="M28" s="80" t="s">
        <v>37</v>
      </c>
      <c r="N28" s="29">
        <v>72963</v>
      </c>
      <c r="O28" s="43">
        <f t="shared" si="0"/>
        <v>240</v>
      </c>
      <c r="P28" s="44"/>
    </row>
    <row r="29" spans="2:16" ht="27.6" customHeight="1" x14ac:dyDescent="0.45">
      <c r="B29" s="18">
        <f t="shared" si="2"/>
        <v>45555</v>
      </c>
      <c r="C29" s="16">
        <f t="shared" si="2"/>
        <v>45555</v>
      </c>
      <c r="D29" s="70" t="s">
        <v>36</v>
      </c>
      <c r="E29" s="71"/>
      <c r="F29" s="45" t="s">
        <v>46</v>
      </c>
      <c r="G29" s="46"/>
      <c r="H29" s="46"/>
      <c r="I29" s="46"/>
      <c r="J29" s="46"/>
      <c r="K29" s="47"/>
      <c r="L29" s="28">
        <v>72983</v>
      </c>
      <c r="M29" s="80" t="s">
        <v>37</v>
      </c>
      <c r="N29" s="29">
        <v>73031</v>
      </c>
      <c r="O29" s="43">
        <f t="shared" si="0"/>
        <v>48</v>
      </c>
      <c r="P29" s="44"/>
    </row>
    <row r="30" spans="2:16" ht="27.6" customHeight="1" x14ac:dyDescent="0.45">
      <c r="B30" s="18">
        <f t="shared" si="2"/>
        <v>45556</v>
      </c>
      <c r="C30" s="16">
        <f t="shared" si="2"/>
        <v>45556</v>
      </c>
      <c r="D30" s="70"/>
      <c r="E30" s="71"/>
      <c r="F30" s="45"/>
      <c r="G30" s="46"/>
      <c r="H30" s="46"/>
      <c r="I30" s="46"/>
      <c r="J30" s="46"/>
      <c r="K30" s="47"/>
      <c r="L30" s="28"/>
      <c r="M30" s="80" t="s">
        <v>37</v>
      </c>
      <c r="N30" s="29"/>
      <c r="O30" s="43">
        <f t="shared" si="0"/>
        <v>0</v>
      </c>
      <c r="P30" s="44"/>
    </row>
    <row r="31" spans="2:16" ht="27.6" customHeight="1" x14ac:dyDescent="0.45">
      <c r="B31" s="18">
        <f t="shared" si="2"/>
        <v>45557</v>
      </c>
      <c r="C31" s="16">
        <f t="shared" si="2"/>
        <v>45557</v>
      </c>
      <c r="D31" s="45"/>
      <c r="E31" s="47"/>
      <c r="F31" s="45"/>
      <c r="G31" s="46"/>
      <c r="H31" s="46"/>
      <c r="I31" s="46"/>
      <c r="J31" s="46"/>
      <c r="K31" s="47"/>
      <c r="L31" s="28"/>
      <c r="M31" s="80" t="s">
        <v>37</v>
      </c>
      <c r="N31" s="29"/>
      <c r="O31" s="43">
        <f t="shared" si="0"/>
        <v>0</v>
      </c>
      <c r="P31" s="44"/>
    </row>
    <row r="32" spans="2:16" ht="27.6" customHeight="1" x14ac:dyDescent="0.45">
      <c r="B32" s="18">
        <f t="shared" si="2"/>
        <v>45558</v>
      </c>
      <c r="C32" s="16">
        <f t="shared" si="2"/>
        <v>45558</v>
      </c>
      <c r="D32" s="45"/>
      <c r="E32" s="47"/>
      <c r="F32" s="45"/>
      <c r="G32" s="46"/>
      <c r="H32" s="46"/>
      <c r="I32" s="46"/>
      <c r="J32" s="46"/>
      <c r="K32" s="47"/>
      <c r="L32" s="28"/>
      <c r="M32" s="80" t="s">
        <v>37</v>
      </c>
      <c r="N32" s="29"/>
      <c r="O32" s="43">
        <f t="shared" si="0"/>
        <v>0</v>
      </c>
      <c r="P32" s="44"/>
    </row>
    <row r="33" spans="2:16" ht="27.6" customHeight="1" x14ac:dyDescent="0.45">
      <c r="B33" s="18">
        <f t="shared" si="2"/>
        <v>45559</v>
      </c>
      <c r="C33" s="16">
        <f t="shared" si="2"/>
        <v>45559</v>
      </c>
      <c r="D33" s="45"/>
      <c r="E33" s="47"/>
      <c r="F33" s="45"/>
      <c r="G33" s="46"/>
      <c r="H33" s="46"/>
      <c r="I33" s="46"/>
      <c r="J33" s="46"/>
      <c r="K33" s="47"/>
      <c r="L33" s="28"/>
      <c r="M33" s="80" t="s">
        <v>37</v>
      </c>
      <c r="N33" s="29"/>
      <c r="O33" s="43">
        <f t="shared" si="0"/>
        <v>0</v>
      </c>
      <c r="P33" s="44"/>
    </row>
    <row r="34" spans="2:16" ht="27.6" customHeight="1" x14ac:dyDescent="0.45">
      <c r="B34" s="18">
        <f t="shared" si="2"/>
        <v>45560</v>
      </c>
      <c r="C34" s="16">
        <f t="shared" si="2"/>
        <v>45560</v>
      </c>
      <c r="D34" s="45"/>
      <c r="E34" s="47"/>
      <c r="F34" s="45"/>
      <c r="G34" s="46"/>
      <c r="H34" s="46"/>
      <c r="I34" s="46"/>
      <c r="J34" s="46"/>
      <c r="K34" s="47"/>
      <c r="L34" s="28"/>
      <c r="M34" s="80" t="s">
        <v>37</v>
      </c>
      <c r="N34" s="29"/>
      <c r="O34" s="43">
        <f t="shared" si="0"/>
        <v>0</v>
      </c>
      <c r="P34" s="44"/>
    </row>
    <row r="35" spans="2:16" ht="27.6" customHeight="1" x14ac:dyDescent="0.45">
      <c r="B35" s="18">
        <f t="shared" si="2"/>
        <v>45561</v>
      </c>
      <c r="C35" s="16">
        <f t="shared" si="2"/>
        <v>45561</v>
      </c>
      <c r="D35" s="45"/>
      <c r="E35" s="47"/>
      <c r="F35" s="45"/>
      <c r="G35" s="46"/>
      <c r="H35" s="46"/>
      <c r="I35" s="46"/>
      <c r="J35" s="46"/>
      <c r="K35" s="47"/>
      <c r="L35" s="28"/>
      <c r="M35" s="80" t="s">
        <v>37</v>
      </c>
      <c r="N35" s="29"/>
      <c r="O35" s="43">
        <f t="shared" si="0"/>
        <v>0</v>
      </c>
      <c r="P35" s="44"/>
    </row>
    <row r="36" spans="2:16" ht="27.6" customHeight="1" x14ac:dyDescent="0.45">
      <c r="B36" s="18">
        <f t="shared" si="2"/>
        <v>45562</v>
      </c>
      <c r="C36" s="16">
        <f t="shared" si="2"/>
        <v>45562</v>
      </c>
      <c r="D36" s="45"/>
      <c r="E36" s="47"/>
      <c r="F36" s="45"/>
      <c r="G36" s="46"/>
      <c r="H36" s="46"/>
      <c r="I36" s="46"/>
      <c r="J36" s="46"/>
      <c r="K36" s="47"/>
      <c r="L36" s="28"/>
      <c r="M36" s="80" t="s">
        <v>37</v>
      </c>
      <c r="N36" s="29"/>
      <c r="O36" s="43">
        <f t="shared" si="0"/>
        <v>0</v>
      </c>
      <c r="P36" s="44"/>
    </row>
    <row r="37" spans="2:16" ht="27.6" customHeight="1" x14ac:dyDescent="0.45">
      <c r="B37" s="18">
        <f t="shared" si="2"/>
        <v>45563</v>
      </c>
      <c r="C37" s="16">
        <f t="shared" si="2"/>
        <v>45563</v>
      </c>
      <c r="D37" s="45"/>
      <c r="E37" s="47"/>
      <c r="F37" s="45"/>
      <c r="G37" s="46"/>
      <c r="H37" s="46"/>
      <c r="I37" s="46"/>
      <c r="J37" s="46"/>
      <c r="K37" s="47"/>
      <c r="L37" s="28"/>
      <c r="M37" s="80" t="s">
        <v>37</v>
      </c>
      <c r="N37" s="29"/>
      <c r="O37" s="43">
        <f t="shared" si="0"/>
        <v>0</v>
      </c>
      <c r="P37" s="44"/>
    </row>
    <row r="38" spans="2:16" ht="27.6" customHeight="1" x14ac:dyDescent="0.45">
      <c r="B38" s="18">
        <f t="shared" si="2"/>
        <v>45564</v>
      </c>
      <c r="C38" s="16">
        <f t="shared" si="2"/>
        <v>45564</v>
      </c>
      <c r="D38" s="45"/>
      <c r="E38" s="47"/>
      <c r="F38" s="45"/>
      <c r="G38" s="46"/>
      <c r="H38" s="46"/>
      <c r="I38" s="46"/>
      <c r="J38" s="46"/>
      <c r="K38" s="47"/>
      <c r="L38" s="28"/>
      <c r="M38" s="80" t="s">
        <v>37</v>
      </c>
      <c r="N38" s="29"/>
      <c r="O38" s="43">
        <f t="shared" si="0"/>
        <v>0</v>
      </c>
      <c r="P38" s="44"/>
    </row>
    <row r="39" spans="2:16" ht="27.6" customHeight="1" x14ac:dyDescent="0.45">
      <c r="B39" s="18">
        <f t="shared" si="2"/>
        <v>45565</v>
      </c>
      <c r="C39" s="16">
        <f t="shared" si="2"/>
        <v>45565</v>
      </c>
      <c r="D39" s="45"/>
      <c r="E39" s="47"/>
      <c r="F39" s="45"/>
      <c r="G39" s="46"/>
      <c r="H39" s="46"/>
      <c r="I39" s="46"/>
      <c r="J39" s="46"/>
      <c r="K39" s="47"/>
      <c r="L39" s="28"/>
      <c r="M39" s="80" t="s">
        <v>37</v>
      </c>
      <c r="N39" s="29"/>
      <c r="O39" s="43">
        <f t="shared" si="0"/>
        <v>0</v>
      </c>
      <c r="P39" s="44"/>
    </row>
    <row r="40" spans="2:16" ht="27.6" customHeight="1" thickBot="1" x14ac:dyDescent="0.5">
      <c r="B40" s="19" t="str">
        <f t="shared" si="2"/>
        <v/>
      </c>
      <c r="C40" s="17" t="str">
        <f t="shared" si="2"/>
        <v/>
      </c>
      <c r="D40" s="48"/>
      <c r="E40" s="50"/>
      <c r="F40" s="48"/>
      <c r="G40" s="49"/>
      <c r="H40" s="49"/>
      <c r="I40" s="49"/>
      <c r="J40" s="49"/>
      <c r="K40" s="50"/>
      <c r="L40" s="34"/>
      <c r="M40" s="36" t="s">
        <v>37</v>
      </c>
      <c r="N40" s="35"/>
      <c r="O40" s="38">
        <f t="shared" si="0"/>
        <v>0</v>
      </c>
      <c r="P40" s="39"/>
    </row>
    <row r="41" spans="2:16" ht="6.75" customHeight="1" x14ac:dyDescent="0.45">
      <c r="O41" s="32"/>
      <c r="P41" s="32"/>
    </row>
  </sheetData>
  <mergeCells count="106">
    <mergeCell ref="B6:C6"/>
    <mergeCell ref="F6:G6"/>
    <mergeCell ref="H6:I6"/>
    <mergeCell ref="D9:E9"/>
    <mergeCell ref="F9:K9"/>
    <mergeCell ref="O9:P9"/>
    <mergeCell ref="D10:E10"/>
    <mergeCell ref="F10:K10"/>
    <mergeCell ref="O10:P10"/>
    <mergeCell ref="J6:L6"/>
    <mergeCell ref="N6:P6"/>
    <mergeCell ref="K1:P1"/>
    <mergeCell ref="G3:I3"/>
    <mergeCell ref="J3:P3"/>
    <mergeCell ref="G4:I4"/>
    <mergeCell ref="J4:P4"/>
    <mergeCell ref="D13:E13"/>
    <mergeCell ref="F13:K13"/>
    <mergeCell ref="O13:P13"/>
    <mergeCell ref="D14:E14"/>
    <mergeCell ref="F14:K14"/>
    <mergeCell ref="O14:P14"/>
    <mergeCell ref="D11:E11"/>
    <mergeCell ref="F11:K11"/>
    <mergeCell ref="O11:P11"/>
    <mergeCell ref="D12:E12"/>
    <mergeCell ref="F12:K12"/>
    <mergeCell ref="O12:P12"/>
    <mergeCell ref="D17:E17"/>
    <mergeCell ref="F17:K17"/>
    <mergeCell ref="O17:P17"/>
    <mergeCell ref="D18:E18"/>
    <mergeCell ref="F18:K18"/>
    <mergeCell ref="O18:P18"/>
    <mergeCell ref="D15:E15"/>
    <mergeCell ref="F15:K15"/>
    <mergeCell ref="O15:P15"/>
    <mergeCell ref="D16:E16"/>
    <mergeCell ref="F16:K16"/>
    <mergeCell ref="O16:P16"/>
    <mergeCell ref="D21:E21"/>
    <mergeCell ref="F21:K21"/>
    <mergeCell ref="O21:P21"/>
    <mergeCell ref="D22:E22"/>
    <mergeCell ref="F22:K22"/>
    <mergeCell ref="O22:P22"/>
    <mergeCell ref="D19:E19"/>
    <mergeCell ref="F19:K19"/>
    <mergeCell ref="O19:P19"/>
    <mergeCell ref="D20:E20"/>
    <mergeCell ref="F20:K20"/>
    <mergeCell ref="O20:P20"/>
    <mergeCell ref="D25:E25"/>
    <mergeCell ref="F25:K25"/>
    <mergeCell ref="O25:P25"/>
    <mergeCell ref="D26:E26"/>
    <mergeCell ref="F26:K26"/>
    <mergeCell ref="O26:P26"/>
    <mergeCell ref="D23:E23"/>
    <mergeCell ref="F23:K23"/>
    <mergeCell ref="O23:P23"/>
    <mergeCell ref="D24:E24"/>
    <mergeCell ref="F24:K24"/>
    <mergeCell ref="O24:P24"/>
    <mergeCell ref="D29:E29"/>
    <mergeCell ref="F29:K29"/>
    <mergeCell ref="O29:P29"/>
    <mergeCell ref="D30:E30"/>
    <mergeCell ref="F30:K30"/>
    <mergeCell ref="O30:P30"/>
    <mergeCell ref="D27:E27"/>
    <mergeCell ref="F27:K27"/>
    <mergeCell ref="O27:P27"/>
    <mergeCell ref="D28:E28"/>
    <mergeCell ref="F28:K28"/>
    <mergeCell ref="O28:P28"/>
    <mergeCell ref="D34:E34"/>
    <mergeCell ref="F34:K34"/>
    <mergeCell ref="O34:P34"/>
    <mergeCell ref="D31:E31"/>
    <mergeCell ref="F31:K31"/>
    <mergeCell ref="O31:P31"/>
    <mergeCell ref="D32:E32"/>
    <mergeCell ref="F32:K32"/>
    <mergeCell ref="O32:P32"/>
    <mergeCell ref="D39:E39"/>
    <mergeCell ref="F39:K39"/>
    <mergeCell ref="O39:P39"/>
    <mergeCell ref="D40:E40"/>
    <mergeCell ref="F40:K40"/>
    <mergeCell ref="O40:P40"/>
    <mergeCell ref="D37:E37"/>
    <mergeCell ref="F37:K37"/>
    <mergeCell ref="O37:P37"/>
    <mergeCell ref="D38:E38"/>
    <mergeCell ref="F38:K38"/>
    <mergeCell ref="O38:P38"/>
    <mergeCell ref="D35:E35"/>
    <mergeCell ref="F35:K35"/>
    <mergeCell ref="O35:P35"/>
    <mergeCell ref="D36:E36"/>
    <mergeCell ref="F36:K36"/>
    <mergeCell ref="O36:P36"/>
    <mergeCell ref="D33:E33"/>
    <mergeCell ref="F33:K33"/>
    <mergeCell ref="O33:P33"/>
  </mergeCells>
  <phoneticPr fontId="3"/>
  <printOptions horizontalCentered="1"/>
  <pageMargins left="0.23622047244094491" right="0.23622047244094491" top="0.74803149606299213" bottom="0.35433070866141736" header="0.31496062992125984" footer="0.31496062992125984"/>
  <pageSetup paperSize="9" scale="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D732-399B-4DE3-B0B2-371253B9C6AF}">
  <sheetPr>
    <pageSetUpPr fitToPage="1"/>
  </sheetPr>
  <dimension ref="B1:M45"/>
  <sheetViews>
    <sheetView topLeftCell="A19" workbookViewId="0">
      <selection activeCell="L34" sqref="L34:M34"/>
    </sheetView>
  </sheetViews>
  <sheetFormatPr defaultRowHeight="18" x14ac:dyDescent="0.45"/>
  <cols>
    <col min="1" max="1" width="2.19921875" customWidth="1"/>
    <col min="2" max="3" width="8" customWidth="1"/>
    <col min="4" max="4" width="11.09765625" customWidth="1"/>
    <col min="5" max="5" width="3.59765625" customWidth="1"/>
    <col min="6" max="6" width="11" customWidth="1"/>
    <col min="7" max="13" width="8.69921875" customWidth="1"/>
    <col min="14" max="14" width="2.19921875" customWidth="1"/>
  </cols>
  <sheetData>
    <row r="1" spans="2:13" ht="32.25" customHeight="1" x14ac:dyDescent="0.45">
      <c r="B1" s="1" t="s">
        <v>8</v>
      </c>
      <c r="K1" s="42" t="s">
        <v>7</v>
      </c>
      <c r="L1" s="42"/>
      <c r="M1" s="42"/>
    </row>
    <row r="2" spans="2:13" ht="8.25" customHeight="1" thickBot="1" x14ac:dyDescent="0.5"/>
    <row r="3" spans="2:13" ht="29.25" customHeight="1" x14ac:dyDescent="0.45">
      <c r="B3" s="2" t="s">
        <v>0</v>
      </c>
      <c r="C3" s="3" t="s">
        <v>1</v>
      </c>
      <c r="D3" s="4" t="s">
        <v>2</v>
      </c>
      <c r="E3" s="5" t="s">
        <v>3</v>
      </c>
      <c r="F3" s="6" t="s">
        <v>4</v>
      </c>
      <c r="G3" s="40" t="s">
        <v>5</v>
      </c>
      <c r="H3" s="52"/>
      <c r="I3" s="51"/>
      <c r="J3" s="52" t="s">
        <v>9</v>
      </c>
      <c r="K3" s="52"/>
      <c r="L3" s="52"/>
      <c r="M3" s="41"/>
    </row>
    <row r="4" spans="2:13" ht="29.25" customHeight="1" thickBot="1" x14ac:dyDescent="0.5">
      <c r="B4" s="7">
        <v>2023</v>
      </c>
      <c r="C4" s="8">
        <v>3</v>
      </c>
      <c r="D4" s="10">
        <f>IF(OR(B4="",C4=""),"",DATE(B4,C4,1))</f>
        <v>44986</v>
      </c>
      <c r="E4" s="9" t="str">
        <f>IF(D4="","","～")</f>
        <v>～</v>
      </c>
      <c r="F4" s="11">
        <f>IF(OR(B4="",C4=""),"",DATE(B4,C4+1,1)-1)</f>
        <v>45016</v>
      </c>
      <c r="G4" s="58" t="s">
        <v>20</v>
      </c>
      <c r="H4" s="59"/>
      <c r="I4" s="60"/>
      <c r="J4" s="59" t="s">
        <v>21</v>
      </c>
      <c r="K4" s="59"/>
      <c r="L4" s="59"/>
      <c r="M4" s="61"/>
    </row>
    <row r="5" spans="2:13" ht="8.25" customHeight="1" thickBot="1" x14ac:dyDescent="0.5"/>
    <row r="6" spans="2:13" ht="35.25" customHeight="1" thickBot="1" x14ac:dyDescent="0.5">
      <c r="B6" s="55" t="s">
        <v>13</v>
      </c>
      <c r="C6" s="56"/>
      <c r="D6" s="24">
        <f>COUNTA(L10:M40)</f>
        <v>7</v>
      </c>
      <c r="E6" s="23" t="s">
        <v>14</v>
      </c>
      <c r="F6" s="53" t="s">
        <v>15</v>
      </c>
      <c r="G6" s="54"/>
      <c r="H6" s="57">
        <f>SUM(L10:M40)</f>
        <v>678.4</v>
      </c>
      <c r="I6" s="57"/>
      <c r="J6" s="53" t="s">
        <v>16</v>
      </c>
      <c r="K6" s="54"/>
      <c r="L6" s="72">
        <f>H6*15</f>
        <v>10176</v>
      </c>
      <c r="M6" s="73"/>
    </row>
    <row r="7" spans="2:13" ht="8.25" customHeight="1" x14ac:dyDescent="0.45"/>
    <row r="8" spans="2:13" ht="18.600000000000001" thickBot="1" x14ac:dyDescent="0.5">
      <c r="B8" t="s">
        <v>17</v>
      </c>
    </row>
    <row r="9" spans="2:13" ht="21" customHeight="1" x14ac:dyDescent="0.45">
      <c r="B9" s="13" t="s">
        <v>6</v>
      </c>
      <c r="C9" s="12" t="s">
        <v>10</v>
      </c>
      <c r="D9" s="40" t="s">
        <v>32</v>
      </c>
      <c r="E9" s="51"/>
      <c r="F9" s="40" t="s">
        <v>11</v>
      </c>
      <c r="G9" s="52"/>
      <c r="H9" s="52"/>
      <c r="I9" s="52"/>
      <c r="J9" s="52"/>
      <c r="K9" s="51"/>
      <c r="L9" s="40" t="s">
        <v>12</v>
      </c>
      <c r="M9" s="41"/>
    </row>
    <row r="10" spans="2:13" ht="21" customHeight="1" x14ac:dyDescent="0.45">
      <c r="B10" s="18">
        <f>D4</f>
        <v>44986</v>
      </c>
      <c r="C10" s="16">
        <f>D4</f>
        <v>44986</v>
      </c>
      <c r="D10" s="70"/>
      <c r="E10" s="71"/>
      <c r="F10" s="27"/>
      <c r="G10" s="14"/>
      <c r="H10" s="14"/>
      <c r="I10" s="14"/>
      <c r="J10" s="14"/>
      <c r="K10" s="15"/>
      <c r="L10" s="74"/>
      <c r="M10" s="75"/>
    </row>
    <row r="11" spans="2:13" ht="21" customHeight="1" x14ac:dyDescent="0.45">
      <c r="B11" s="18">
        <f>IF(B10&gt;=$F$4,"",B10+1)</f>
        <v>44987</v>
      </c>
      <c r="C11" s="16">
        <f>IF(C10&gt;=$F$4,"",C10+1)</f>
        <v>44987</v>
      </c>
      <c r="D11" s="70"/>
      <c r="E11" s="71"/>
      <c r="F11" s="27"/>
      <c r="G11" s="14"/>
      <c r="H11" s="14"/>
      <c r="I11" s="14"/>
      <c r="J11" s="14"/>
      <c r="K11" s="15"/>
      <c r="L11" s="74"/>
      <c r="M11" s="75"/>
    </row>
    <row r="12" spans="2:13" ht="21" customHeight="1" x14ac:dyDescent="0.45">
      <c r="B12" s="18">
        <f t="shared" ref="B12:C27" si="0">IF(B11&gt;=$F$4,"",B11+1)</f>
        <v>44988</v>
      </c>
      <c r="C12" s="16">
        <f t="shared" si="0"/>
        <v>44988</v>
      </c>
      <c r="D12" s="70"/>
      <c r="E12" s="71"/>
      <c r="F12" s="27"/>
      <c r="G12" s="14"/>
      <c r="H12" s="14"/>
      <c r="I12" s="14"/>
      <c r="J12" s="14"/>
      <c r="K12" s="15"/>
      <c r="L12" s="74"/>
      <c r="M12" s="75"/>
    </row>
    <row r="13" spans="2:13" ht="21" customHeight="1" x14ac:dyDescent="0.45">
      <c r="B13" s="18">
        <f t="shared" si="0"/>
        <v>44989</v>
      </c>
      <c r="C13" s="16">
        <f t="shared" si="0"/>
        <v>44989</v>
      </c>
      <c r="D13" s="70"/>
      <c r="E13" s="71"/>
      <c r="F13" s="27"/>
      <c r="G13" s="14"/>
      <c r="H13" s="14"/>
      <c r="I13" s="14"/>
      <c r="J13" s="14"/>
      <c r="K13" s="15"/>
      <c r="L13" s="74"/>
      <c r="M13" s="75"/>
    </row>
    <row r="14" spans="2:13" ht="21" customHeight="1" x14ac:dyDescent="0.45">
      <c r="B14" s="18">
        <f t="shared" si="0"/>
        <v>44990</v>
      </c>
      <c r="C14" s="16">
        <f t="shared" si="0"/>
        <v>44990</v>
      </c>
      <c r="D14" s="70"/>
      <c r="E14" s="71"/>
      <c r="F14" s="27"/>
      <c r="G14" s="14"/>
      <c r="H14" s="14"/>
      <c r="I14" s="14"/>
      <c r="J14" s="14"/>
      <c r="K14" s="15"/>
      <c r="L14" s="74"/>
      <c r="M14" s="75"/>
    </row>
    <row r="15" spans="2:13" ht="21" customHeight="1" x14ac:dyDescent="0.45">
      <c r="B15" s="18">
        <f t="shared" si="0"/>
        <v>44991</v>
      </c>
      <c r="C15" s="16">
        <f t="shared" si="0"/>
        <v>44991</v>
      </c>
      <c r="D15" s="70"/>
      <c r="E15" s="71"/>
      <c r="F15" s="27"/>
      <c r="G15" s="14"/>
      <c r="H15" s="14"/>
      <c r="I15" s="14"/>
      <c r="J15" s="14"/>
      <c r="K15" s="15"/>
      <c r="L15" s="74"/>
      <c r="M15" s="75"/>
    </row>
    <row r="16" spans="2:13" ht="21" customHeight="1" x14ac:dyDescent="0.45">
      <c r="B16" s="18">
        <f t="shared" si="0"/>
        <v>44992</v>
      </c>
      <c r="C16" s="16">
        <f t="shared" si="0"/>
        <v>44992</v>
      </c>
      <c r="D16" s="70"/>
      <c r="E16" s="71"/>
      <c r="F16" s="27"/>
      <c r="G16" s="14"/>
      <c r="H16" s="14"/>
      <c r="I16" s="14"/>
      <c r="J16" s="14"/>
      <c r="K16" s="15"/>
      <c r="L16" s="74"/>
      <c r="M16" s="75"/>
    </row>
    <row r="17" spans="2:13" ht="21" customHeight="1" x14ac:dyDescent="0.45">
      <c r="B17" s="18">
        <f t="shared" si="0"/>
        <v>44993</v>
      </c>
      <c r="C17" s="16">
        <f t="shared" si="0"/>
        <v>44993</v>
      </c>
      <c r="D17" s="70"/>
      <c r="E17" s="71"/>
      <c r="F17" s="27"/>
      <c r="G17" s="14"/>
      <c r="H17" s="14"/>
      <c r="I17" s="14"/>
      <c r="J17" s="14"/>
      <c r="K17" s="15"/>
      <c r="L17" s="74"/>
      <c r="M17" s="75"/>
    </row>
    <row r="18" spans="2:13" ht="21" customHeight="1" x14ac:dyDescent="0.45">
      <c r="B18" s="18">
        <f t="shared" si="0"/>
        <v>44994</v>
      </c>
      <c r="C18" s="16">
        <f t="shared" si="0"/>
        <v>44994</v>
      </c>
      <c r="D18" s="70" t="s">
        <v>30</v>
      </c>
      <c r="E18" s="71"/>
      <c r="F18" s="27" t="s">
        <v>22</v>
      </c>
      <c r="G18" s="14"/>
      <c r="H18" s="14"/>
      <c r="I18" s="14"/>
      <c r="J18" s="14"/>
      <c r="K18" s="15"/>
      <c r="L18" s="74"/>
      <c r="M18" s="75"/>
    </row>
    <row r="19" spans="2:13" ht="21" customHeight="1" x14ac:dyDescent="0.45">
      <c r="B19" s="18">
        <f t="shared" si="0"/>
        <v>44995</v>
      </c>
      <c r="C19" s="16">
        <f t="shared" si="0"/>
        <v>44995</v>
      </c>
      <c r="D19" s="70" t="s">
        <v>34</v>
      </c>
      <c r="E19" s="71"/>
      <c r="F19" s="27" t="s">
        <v>23</v>
      </c>
      <c r="G19" s="14"/>
      <c r="H19" s="14"/>
      <c r="I19" s="14"/>
      <c r="J19" s="14"/>
      <c r="K19" s="15"/>
      <c r="L19" s="74">
        <v>127.8</v>
      </c>
      <c r="M19" s="75"/>
    </row>
    <row r="20" spans="2:13" ht="21" customHeight="1" x14ac:dyDescent="0.45">
      <c r="B20" s="18">
        <f t="shared" si="0"/>
        <v>44996</v>
      </c>
      <c r="C20" s="16">
        <f t="shared" si="0"/>
        <v>44996</v>
      </c>
      <c r="D20" s="70"/>
      <c r="E20" s="71"/>
      <c r="F20" s="27" t="s">
        <v>42</v>
      </c>
      <c r="G20" s="14"/>
      <c r="H20" s="14"/>
      <c r="I20" s="14"/>
      <c r="J20" s="14"/>
      <c r="K20" s="15"/>
      <c r="L20" s="74"/>
      <c r="M20" s="75"/>
    </row>
    <row r="21" spans="2:13" ht="21" customHeight="1" x14ac:dyDescent="0.45">
      <c r="B21" s="18">
        <f t="shared" si="0"/>
        <v>44997</v>
      </c>
      <c r="C21" s="16">
        <f t="shared" si="0"/>
        <v>44997</v>
      </c>
      <c r="D21" s="70" t="s">
        <v>31</v>
      </c>
      <c r="E21" s="71"/>
      <c r="F21" s="27" t="s">
        <v>24</v>
      </c>
      <c r="G21" s="14"/>
      <c r="H21" s="14"/>
      <c r="I21" s="14"/>
      <c r="J21" s="14"/>
      <c r="K21" s="15"/>
      <c r="L21" s="74">
        <v>104</v>
      </c>
      <c r="M21" s="75"/>
    </row>
    <row r="22" spans="2:13" ht="21" customHeight="1" x14ac:dyDescent="0.45">
      <c r="B22" s="18">
        <f t="shared" si="0"/>
        <v>44998</v>
      </c>
      <c r="C22" s="16">
        <f t="shared" si="0"/>
        <v>44998</v>
      </c>
      <c r="D22" s="70" t="s">
        <v>34</v>
      </c>
      <c r="E22" s="71"/>
      <c r="F22" s="27" t="s">
        <v>25</v>
      </c>
      <c r="G22" s="14"/>
      <c r="H22" s="14"/>
      <c r="I22" s="14"/>
      <c r="J22" s="14"/>
      <c r="K22" s="15"/>
      <c r="L22" s="74">
        <v>10.6</v>
      </c>
      <c r="M22" s="75"/>
    </row>
    <row r="23" spans="2:13" ht="21" customHeight="1" x14ac:dyDescent="0.45">
      <c r="B23" s="18">
        <f t="shared" si="0"/>
        <v>44999</v>
      </c>
      <c r="C23" s="16">
        <f t="shared" si="0"/>
        <v>44999</v>
      </c>
      <c r="D23" s="70"/>
      <c r="E23" s="71"/>
      <c r="F23" s="27"/>
      <c r="G23" s="14"/>
      <c r="H23" s="14"/>
      <c r="I23" s="14"/>
      <c r="J23" s="14"/>
      <c r="K23" s="15"/>
      <c r="L23" s="74"/>
      <c r="M23" s="75"/>
    </row>
    <row r="24" spans="2:13" ht="21" customHeight="1" x14ac:dyDescent="0.45">
      <c r="B24" s="18">
        <f t="shared" si="0"/>
        <v>45000</v>
      </c>
      <c r="C24" s="16">
        <f t="shared" si="0"/>
        <v>45000</v>
      </c>
      <c r="D24" s="70"/>
      <c r="E24" s="71"/>
      <c r="F24" s="27"/>
      <c r="G24" s="14"/>
      <c r="H24" s="14"/>
      <c r="I24" s="14"/>
      <c r="J24" s="14"/>
      <c r="K24" s="15"/>
      <c r="L24" s="74"/>
      <c r="M24" s="75"/>
    </row>
    <row r="25" spans="2:13" ht="21" customHeight="1" x14ac:dyDescent="0.45">
      <c r="B25" s="18">
        <f t="shared" si="0"/>
        <v>45001</v>
      </c>
      <c r="C25" s="16">
        <f t="shared" si="0"/>
        <v>45001</v>
      </c>
      <c r="D25" s="70"/>
      <c r="E25" s="71"/>
      <c r="F25" s="27"/>
      <c r="G25" s="14"/>
      <c r="H25" s="14"/>
      <c r="I25" s="14"/>
      <c r="J25" s="14"/>
      <c r="K25" s="15"/>
      <c r="L25" s="74"/>
      <c r="M25" s="75"/>
    </row>
    <row r="26" spans="2:13" ht="21" customHeight="1" x14ac:dyDescent="0.45">
      <c r="B26" s="18">
        <f t="shared" si="0"/>
        <v>45002</v>
      </c>
      <c r="C26" s="16">
        <f t="shared" si="0"/>
        <v>45002</v>
      </c>
      <c r="D26" s="70" t="s">
        <v>33</v>
      </c>
      <c r="E26" s="71"/>
      <c r="F26" s="27" t="s">
        <v>26</v>
      </c>
      <c r="G26" s="14"/>
      <c r="H26" s="14"/>
      <c r="I26" s="14"/>
      <c r="J26" s="14"/>
      <c r="K26" s="15"/>
      <c r="L26" s="74">
        <v>116</v>
      </c>
      <c r="M26" s="75"/>
    </row>
    <row r="27" spans="2:13" ht="21" customHeight="1" x14ac:dyDescent="0.45">
      <c r="B27" s="18">
        <f t="shared" si="0"/>
        <v>45003</v>
      </c>
      <c r="C27" s="16">
        <f t="shared" si="0"/>
        <v>45003</v>
      </c>
      <c r="D27" s="70" t="s">
        <v>34</v>
      </c>
      <c r="E27" s="71"/>
      <c r="F27" s="27" t="s">
        <v>27</v>
      </c>
      <c r="G27" s="14"/>
      <c r="H27" s="14"/>
      <c r="I27" s="14"/>
      <c r="J27" s="14"/>
      <c r="K27" s="15"/>
      <c r="L27" s="74">
        <v>32</v>
      </c>
      <c r="M27" s="75"/>
    </row>
    <row r="28" spans="2:13" ht="21" customHeight="1" x14ac:dyDescent="0.45">
      <c r="B28" s="18">
        <f t="shared" ref="B28:C40" si="1">IF(B27&gt;=$F$4,"",B27+1)</f>
        <v>45004</v>
      </c>
      <c r="C28" s="16">
        <f t="shared" si="1"/>
        <v>45004</v>
      </c>
      <c r="D28" s="70"/>
      <c r="E28" s="71"/>
      <c r="F28" s="27"/>
      <c r="G28" s="14"/>
      <c r="H28" s="14"/>
      <c r="I28" s="14"/>
      <c r="J28" s="14"/>
      <c r="K28" s="15"/>
      <c r="L28" s="74"/>
      <c r="M28" s="75"/>
    </row>
    <row r="29" spans="2:13" ht="21" customHeight="1" x14ac:dyDescent="0.45">
      <c r="B29" s="18">
        <f t="shared" si="1"/>
        <v>45005</v>
      </c>
      <c r="C29" s="16">
        <f t="shared" si="1"/>
        <v>45005</v>
      </c>
      <c r="D29" s="70"/>
      <c r="E29" s="71"/>
      <c r="F29" s="27"/>
      <c r="G29" s="14"/>
      <c r="H29" s="14"/>
      <c r="I29" s="14"/>
      <c r="J29" s="14"/>
      <c r="K29" s="15"/>
      <c r="L29" s="74"/>
      <c r="M29" s="75"/>
    </row>
    <row r="30" spans="2:13" ht="21" customHeight="1" x14ac:dyDescent="0.45">
      <c r="B30" s="18">
        <f t="shared" si="1"/>
        <v>45006</v>
      </c>
      <c r="C30" s="16">
        <f t="shared" si="1"/>
        <v>45006</v>
      </c>
      <c r="D30" s="70"/>
      <c r="E30" s="71"/>
      <c r="F30" s="27"/>
      <c r="G30" s="14"/>
      <c r="H30" s="14"/>
      <c r="I30" s="14"/>
      <c r="J30" s="14"/>
      <c r="K30" s="15"/>
      <c r="L30" s="74"/>
      <c r="M30" s="75"/>
    </row>
    <row r="31" spans="2:13" ht="21" customHeight="1" x14ac:dyDescent="0.45">
      <c r="B31" s="18">
        <f t="shared" si="1"/>
        <v>45007</v>
      </c>
      <c r="C31" s="16">
        <f t="shared" si="1"/>
        <v>45007</v>
      </c>
      <c r="D31" s="70"/>
      <c r="E31" s="71"/>
      <c r="F31" s="27"/>
      <c r="G31" s="14"/>
      <c r="H31" s="14"/>
      <c r="I31" s="14"/>
      <c r="J31" s="14"/>
      <c r="K31" s="15"/>
      <c r="L31" s="74"/>
      <c r="M31" s="75"/>
    </row>
    <row r="32" spans="2:13" ht="21" customHeight="1" x14ac:dyDescent="0.45">
      <c r="B32" s="18">
        <f t="shared" si="1"/>
        <v>45008</v>
      </c>
      <c r="C32" s="16">
        <f t="shared" si="1"/>
        <v>45008</v>
      </c>
      <c r="D32" s="70"/>
      <c r="E32" s="71"/>
      <c r="F32" s="27"/>
      <c r="G32" s="14"/>
      <c r="H32" s="14"/>
      <c r="I32" s="14"/>
      <c r="J32" s="14"/>
      <c r="K32" s="15"/>
      <c r="L32" s="74"/>
      <c r="M32" s="75"/>
    </row>
    <row r="33" spans="2:13" ht="21" customHeight="1" x14ac:dyDescent="0.45">
      <c r="B33" s="18">
        <f t="shared" si="1"/>
        <v>45009</v>
      </c>
      <c r="C33" s="16">
        <f t="shared" si="1"/>
        <v>45009</v>
      </c>
      <c r="D33" s="70"/>
      <c r="E33" s="71"/>
      <c r="F33" s="27" t="s">
        <v>42</v>
      </c>
      <c r="G33" s="14"/>
      <c r="H33" s="14"/>
      <c r="I33" s="14"/>
      <c r="J33" s="14"/>
      <c r="K33" s="15"/>
      <c r="L33" s="74"/>
      <c r="M33" s="75"/>
    </row>
    <row r="34" spans="2:13" ht="21" customHeight="1" x14ac:dyDescent="0.45">
      <c r="B34" s="18">
        <f t="shared" si="1"/>
        <v>45010</v>
      </c>
      <c r="C34" s="16">
        <f t="shared" si="1"/>
        <v>45010</v>
      </c>
      <c r="D34" s="70" t="s">
        <v>35</v>
      </c>
      <c r="E34" s="71"/>
      <c r="F34" s="27" t="s">
        <v>28</v>
      </c>
      <c r="G34" s="14"/>
      <c r="H34" s="14"/>
      <c r="I34" s="14"/>
      <c r="J34" s="14"/>
      <c r="K34" s="15"/>
      <c r="L34" s="74">
        <v>240</v>
      </c>
      <c r="M34" s="75"/>
    </row>
    <row r="35" spans="2:13" ht="21" customHeight="1" x14ac:dyDescent="0.45">
      <c r="B35" s="18">
        <f t="shared" si="1"/>
        <v>45011</v>
      </c>
      <c r="C35" s="16">
        <f t="shared" si="1"/>
        <v>45011</v>
      </c>
      <c r="D35" s="70"/>
      <c r="E35" s="71"/>
      <c r="F35" s="27"/>
      <c r="G35" s="14"/>
      <c r="H35" s="14"/>
      <c r="I35" s="14"/>
      <c r="J35" s="14"/>
      <c r="K35" s="15"/>
      <c r="L35" s="74"/>
      <c r="M35" s="75"/>
    </row>
    <row r="36" spans="2:13" ht="21" customHeight="1" x14ac:dyDescent="0.45">
      <c r="B36" s="18">
        <f t="shared" si="1"/>
        <v>45012</v>
      </c>
      <c r="C36" s="16">
        <f t="shared" si="1"/>
        <v>45012</v>
      </c>
      <c r="D36" s="70" t="s">
        <v>36</v>
      </c>
      <c r="E36" s="71"/>
      <c r="F36" s="27" t="s">
        <v>29</v>
      </c>
      <c r="G36" s="14"/>
      <c r="H36" s="14"/>
      <c r="I36" s="14"/>
      <c r="J36" s="14"/>
      <c r="K36" s="15"/>
      <c r="L36" s="74">
        <v>48</v>
      </c>
      <c r="M36" s="75"/>
    </row>
    <row r="37" spans="2:13" ht="21" customHeight="1" x14ac:dyDescent="0.45">
      <c r="B37" s="18">
        <f t="shared" si="1"/>
        <v>45013</v>
      </c>
      <c r="C37" s="16">
        <f t="shared" si="1"/>
        <v>45013</v>
      </c>
      <c r="D37" s="70"/>
      <c r="E37" s="71"/>
      <c r="F37" s="27"/>
      <c r="G37" s="14"/>
      <c r="H37" s="14"/>
      <c r="I37" s="14"/>
      <c r="J37" s="14"/>
      <c r="K37" s="15"/>
      <c r="L37" s="74"/>
      <c r="M37" s="75"/>
    </row>
    <row r="38" spans="2:13" ht="21" customHeight="1" x14ac:dyDescent="0.45">
      <c r="B38" s="18">
        <f t="shared" si="1"/>
        <v>45014</v>
      </c>
      <c r="C38" s="16">
        <f t="shared" si="1"/>
        <v>45014</v>
      </c>
      <c r="D38" s="70"/>
      <c r="E38" s="71"/>
      <c r="F38" s="27"/>
      <c r="G38" s="14"/>
      <c r="H38" s="14"/>
      <c r="I38" s="14"/>
      <c r="J38" s="14"/>
      <c r="K38" s="15"/>
      <c r="L38" s="74"/>
      <c r="M38" s="75"/>
    </row>
    <row r="39" spans="2:13" ht="21" customHeight="1" x14ac:dyDescent="0.45">
      <c r="B39" s="18">
        <f t="shared" si="1"/>
        <v>45015</v>
      </c>
      <c r="C39" s="16">
        <f t="shared" si="1"/>
        <v>45015</v>
      </c>
      <c r="D39" s="70"/>
      <c r="E39" s="71"/>
      <c r="F39" s="27"/>
      <c r="G39" s="14"/>
      <c r="H39" s="14"/>
      <c r="I39" s="14"/>
      <c r="J39" s="14"/>
      <c r="K39" s="15"/>
      <c r="L39" s="74"/>
      <c r="M39" s="75"/>
    </row>
    <row r="40" spans="2:13" ht="21" customHeight="1" thickBot="1" x14ac:dyDescent="0.5">
      <c r="B40" s="19">
        <f t="shared" si="1"/>
        <v>45016</v>
      </c>
      <c r="C40" s="17">
        <f t="shared" si="1"/>
        <v>45016</v>
      </c>
      <c r="D40" s="76"/>
      <c r="E40" s="77"/>
      <c r="F40" s="20"/>
      <c r="G40" s="22"/>
      <c r="H40" s="22"/>
      <c r="I40" s="22"/>
      <c r="J40" s="22"/>
      <c r="K40" s="21"/>
      <c r="L40" s="78"/>
      <c r="M40" s="79"/>
    </row>
    <row r="41" spans="2:13" ht="6.75" customHeight="1" thickBot="1" x14ac:dyDescent="0.5"/>
    <row r="42" spans="2:13" x14ac:dyDescent="0.45">
      <c r="L42" s="25" t="s">
        <v>18</v>
      </c>
      <c r="M42" s="26" t="s">
        <v>19</v>
      </c>
    </row>
    <row r="43" spans="2:13" ht="24.75" customHeight="1" x14ac:dyDescent="0.45">
      <c r="L43" s="66"/>
      <c r="M43" s="68"/>
    </row>
    <row r="44" spans="2:13" ht="24.75" customHeight="1" thickBot="1" x14ac:dyDescent="0.5">
      <c r="L44" s="67"/>
      <c r="M44" s="69"/>
    </row>
    <row r="45" spans="2:13" ht="9.75" customHeight="1" x14ac:dyDescent="0.45"/>
  </sheetData>
  <mergeCells count="77">
    <mergeCell ref="L43:L44"/>
    <mergeCell ref="M43:M44"/>
    <mergeCell ref="D39:E39"/>
    <mergeCell ref="L39:M39"/>
    <mergeCell ref="D40:E40"/>
    <mergeCell ref="L40:M40"/>
    <mergeCell ref="D37:E37"/>
    <mergeCell ref="L37:M37"/>
    <mergeCell ref="D38:E38"/>
    <mergeCell ref="L38:M38"/>
    <mergeCell ref="D35:E35"/>
    <mergeCell ref="L35:M35"/>
    <mergeCell ref="D36:E36"/>
    <mergeCell ref="L36:M36"/>
    <mergeCell ref="D33:E33"/>
    <mergeCell ref="L33:M33"/>
    <mergeCell ref="D34:E34"/>
    <mergeCell ref="L34:M34"/>
    <mergeCell ref="D31:E31"/>
    <mergeCell ref="L31:M31"/>
    <mergeCell ref="D32:E32"/>
    <mergeCell ref="L32:M32"/>
    <mergeCell ref="D29:E29"/>
    <mergeCell ref="L29:M29"/>
    <mergeCell ref="D30:E30"/>
    <mergeCell ref="L30:M30"/>
    <mergeCell ref="D27:E27"/>
    <mergeCell ref="L27:M27"/>
    <mergeCell ref="D28:E28"/>
    <mergeCell ref="L28:M28"/>
    <mergeCell ref="D25:E25"/>
    <mergeCell ref="L25:M25"/>
    <mergeCell ref="D26:E26"/>
    <mergeCell ref="L26:M26"/>
    <mergeCell ref="D23:E23"/>
    <mergeCell ref="L23:M23"/>
    <mergeCell ref="D24:E24"/>
    <mergeCell ref="L24:M24"/>
    <mergeCell ref="D21:E21"/>
    <mergeCell ref="L21:M21"/>
    <mergeCell ref="D22:E22"/>
    <mergeCell ref="L22:M22"/>
    <mergeCell ref="D19:E19"/>
    <mergeCell ref="L19:M19"/>
    <mergeCell ref="D20:E20"/>
    <mergeCell ref="L20:M20"/>
    <mergeCell ref="D17:E17"/>
    <mergeCell ref="L17:M17"/>
    <mergeCell ref="D18:E18"/>
    <mergeCell ref="L18:M18"/>
    <mergeCell ref="D15:E15"/>
    <mergeCell ref="L15:M15"/>
    <mergeCell ref="D16:E16"/>
    <mergeCell ref="L16:M16"/>
    <mergeCell ref="D13:E13"/>
    <mergeCell ref="L13:M13"/>
    <mergeCell ref="D14:E14"/>
    <mergeCell ref="L14:M14"/>
    <mergeCell ref="D11:E11"/>
    <mergeCell ref="L11:M11"/>
    <mergeCell ref="D12:E12"/>
    <mergeCell ref="L12:M12"/>
    <mergeCell ref="D9:E9"/>
    <mergeCell ref="F9:K9"/>
    <mergeCell ref="L9:M9"/>
    <mergeCell ref="D10:E10"/>
    <mergeCell ref="L10:M10"/>
    <mergeCell ref="K1:M1"/>
    <mergeCell ref="G3:I3"/>
    <mergeCell ref="J3:M3"/>
    <mergeCell ref="G4:I4"/>
    <mergeCell ref="J4:M4"/>
    <mergeCell ref="B6:C6"/>
    <mergeCell ref="F6:G6"/>
    <mergeCell ref="H6:I6"/>
    <mergeCell ref="J6:K6"/>
    <mergeCell ref="L6:M6"/>
  </mergeCells>
  <phoneticPr fontId="3"/>
  <printOptions horizontalCentered="1"/>
  <pageMargins left="0.23622047244094491" right="0.23622047244094491" top="0.74803149606299213" bottom="0.35433070866141736" header="0.31496062992125984" footer="0.31496062992125984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私有車実績報告書【原本】</vt:lpstr>
      <vt:lpstr>私有車実績報告書【記入例2024.9～】</vt:lpstr>
      <vt:lpstr>私有車実績報告書【記入例】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kaori</dc:creator>
  <cp:lastModifiedBy>小野　レミ</cp:lastModifiedBy>
  <cp:lastPrinted>2025-06-20T05:09:30Z</cp:lastPrinted>
  <dcterms:created xsi:type="dcterms:W3CDTF">2019-08-01T01:34:12Z</dcterms:created>
  <dcterms:modified xsi:type="dcterms:W3CDTF">2025-06-20T05:13:53Z</dcterms:modified>
</cp:coreProperties>
</file>
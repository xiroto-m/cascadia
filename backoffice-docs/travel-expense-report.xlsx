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LS520DCD5\data\総務関係\10.各種テンプレート\出張・経費精算書\2024.9～\"/>
    </mc:Choice>
  </mc:AlternateContent>
  <xr:revisionPtr revIDLastSave="0" documentId="13_ncr:1_{7AB06808-FE53-4CC9-91EA-B7504814A67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旅費入力サンプル" sheetId="13" r:id="rId1"/>
    <sheet name="旅費交通費（国内出張）複数個所宿泊用" sheetId="11" r:id="rId2"/>
    <sheet name="旅費交通費（国内出張）" sheetId="12" r:id="rId3"/>
  </sheets>
  <definedNames>
    <definedName name="_xlnm.Print_Area" localSheetId="2">'旅費交通費（国内出張）'!$A$1:$O$24</definedName>
    <definedName name="_xlnm.Print_Area" localSheetId="1">'旅費交通費（国内出張）複数個所宿泊用'!$A$1:$O$43</definedName>
    <definedName name="_xlnm.Print_Area" localSheetId="0">旅費入力サンプル!$A$1:$O$31</definedName>
    <definedName name="_xlnm.Print_Titles" localSheetId="2">'旅費交通費（国内出張）'!$2:$11</definedName>
    <definedName name="_xlnm.Print_Titles" localSheetId="1">'旅費交通費（国内出張）複数個所宿泊用'!$2:$13</definedName>
    <definedName name="_xlnm.Print_Titles" localSheetId="0">旅費入力サンプル!$2:$12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11" l="1"/>
  <c r="F38" i="11" s="1"/>
  <c r="F21" i="12"/>
  <c r="F24" i="13"/>
  <c r="F22" i="13"/>
  <c r="F21" i="13"/>
  <c r="I20" i="12"/>
  <c r="F19" i="12"/>
  <c r="F18" i="12"/>
  <c r="N34" i="11"/>
  <c r="N20" i="13"/>
  <c r="N18" i="13"/>
  <c r="N17" i="13"/>
  <c r="N16" i="13"/>
  <c r="N15" i="13"/>
  <c r="N14" i="13"/>
  <c r="N14" i="12"/>
  <c r="N17" i="12"/>
  <c r="N15" i="12"/>
  <c r="N13" i="12"/>
  <c r="N36" i="11"/>
  <c r="N32" i="11"/>
  <c r="N31" i="11"/>
  <c r="N30" i="11"/>
  <c r="N28" i="11"/>
  <c r="K28" i="11"/>
  <c r="J28" i="11"/>
  <c r="I27" i="11"/>
  <c r="F37" i="11" l="1"/>
  <c r="F40" i="11" s="1"/>
  <c r="I39" i="11" s="1"/>
  <c r="I23" i="13"/>
  <c r="I28" i="11"/>
</calcChain>
</file>

<file path=xl/sharedStrings.xml><?xml version="1.0" encoding="utf-8"?>
<sst xmlns="http://schemas.openxmlformats.org/spreadsheetml/2006/main" count="119" uniqueCount="48">
  <si>
    <t>ｘ</t>
    <phoneticPr fontId="1"/>
  </si>
  <si>
    <t>日</t>
    <rPh sb="0" eb="1">
      <t>ニチ</t>
    </rPh>
    <phoneticPr fontId="1"/>
  </si>
  <si>
    <t>承認印</t>
    <rPh sb="0" eb="2">
      <t>ショウニン</t>
    </rPh>
    <rPh sb="2" eb="3">
      <t>イン</t>
    </rPh>
    <phoneticPr fontId="1"/>
  </si>
  <si>
    <t>担当者</t>
    <rPh sb="0" eb="3">
      <t>タントウシャ</t>
    </rPh>
    <phoneticPr fontId="1"/>
  </si>
  <si>
    <t>区   間</t>
    <rPh sb="0" eb="1">
      <t>ク</t>
    </rPh>
    <rPh sb="4" eb="5">
      <t>アイダ</t>
    </rPh>
    <phoneticPr fontId="1"/>
  </si>
  <si>
    <t>電  車</t>
    <rPh sb="0" eb="1">
      <t>デン</t>
    </rPh>
    <rPh sb="3" eb="4">
      <t>クルマ</t>
    </rPh>
    <phoneticPr fontId="1"/>
  </si>
  <si>
    <t>タ ク シ ー</t>
    <phoneticPr fontId="1"/>
  </si>
  <si>
    <t>そ の 他</t>
    <phoneticPr fontId="1"/>
  </si>
  <si>
    <t>交 通 機 関 ・金 額</t>
    <rPh sb="0" eb="1">
      <t>コウ</t>
    </rPh>
    <rPh sb="2" eb="3">
      <t>ツウ</t>
    </rPh>
    <rPh sb="4" eb="5">
      <t>キ</t>
    </rPh>
    <rPh sb="6" eb="7">
      <t>セキ</t>
    </rPh>
    <rPh sb="9" eb="10">
      <t>キン</t>
    </rPh>
    <rPh sb="11" eb="12">
      <t>ガク</t>
    </rPh>
    <phoneticPr fontId="1"/>
  </si>
  <si>
    <t>国内出張旅費申請書兼精算書</t>
    <rPh sb="0" eb="2">
      <t>コクナイ</t>
    </rPh>
    <rPh sb="2" eb="4">
      <t>シュッチョウ</t>
    </rPh>
    <rPh sb="4" eb="6">
      <t>リョヒ</t>
    </rPh>
    <rPh sb="6" eb="9">
      <t>シンセイショ</t>
    </rPh>
    <rPh sb="9" eb="10">
      <t>ケン</t>
    </rPh>
    <rPh sb="10" eb="12">
      <t>セイサン</t>
    </rPh>
    <rPh sb="12" eb="13">
      <t>ショ</t>
    </rPh>
    <phoneticPr fontId="1"/>
  </si>
  <si>
    <t>日　付</t>
    <rPh sb="0" eb="1">
      <t>ビ</t>
    </rPh>
    <rPh sb="2" eb="3">
      <t>ヅケ</t>
    </rPh>
    <phoneticPr fontId="1"/>
  </si>
  <si>
    <t>出発時刻</t>
    <rPh sb="0" eb="2">
      <t>シュッパツ</t>
    </rPh>
    <rPh sb="2" eb="4">
      <t>ジコク</t>
    </rPh>
    <phoneticPr fontId="1"/>
  </si>
  <si>
    <t>到着時刻</t>
    <rPh sb="0" eb="2">
      <t>トウチャク</t>
    </rPh>
    <rPh sb="2" eb="4">
      <t>ジコク</t>
    </rPh>
    <phoneticPr fontId="1"/>
  </si>
  <si>
    <t>交通機関</t>
    <rPh sb="0" eb="2">
      <t>コウツウ</t>
    </rPh>
    <rPh sb="2" eb="4">
      <t>キカン</t>
    </rPh>
    <phoneticPr fontId="1"/>
  </si>
  <si>
    <t>金　額</t>
    <rPh sb="0" eb="1">
      <t>キン</t>
    </rPh>
    <rPh sb="2" eb="3">
      <t>ガク</t>
    </rPh>
    <phoneticPr fontId="1"/>
  </si>
  <si>
    <t>会 社 支 給</t>
    <rPh sb="0" eb="1">
      <t>カイ</t>
    </rPh>
    <rPh sb="2" eb="3">
      <t>シャ</t>
    </rPh>
    <rPh sb="4" eb="5">
      <t>シ</t>
    </rPh>
    <rPh sb="6" eb="7">
      <t>キュウ</t>
    </rPh>
    <phoneticPr fontId="1"/>
  </si>
  <si>
    <t>泊</t>
    <rPh sb="0" eb="1">
      <t>ハク</t>
    </rPh>
    <phoneticPr fontId="1"/>
  </si>
  <si>
    <t>宿泊地　
及び　泊数</t>
    <rPh sb="0" eb="1">
      <t>ヤド</t>
    </rPh>
    <rPh sb="1" eb="2">
      <t>ハク</t>
    </rPh>
    <rPh sb="2" eb="3">
      <t>チ</t>
    </rPh>
    <rPh sb="5" eb="6">
      <t>オヨ</t>
    </rPh>
    <rPh sb="8" eb="9">
      <t>ハク</t>
    </rPh>
    <rPh sb="9" eb="10">
      <t>スウ</t>
    </rPh>
    <phoneticPr fontId="1"/>
  </si>
  <si>
    <t>小　  計　（A）</t>
    <phoneticPr fontId="1"/>
  </si>
  <si>
    <t>小　  計　（B）</t>
    <phoneticPr fontId="1"/>
  </si>
  <si>
    <t xml:space="preserve">金　額 </t>
    <rPh sb="0" eb="1">
      <t>キン</t>
    </rPh>
    <rPh sb="2" eb="3">
      <t>ガク</t>
    </rPh>
    <phoneticPr fontId="1"/>
  </si>
  <si>
    <t>出　張　先</t>
    <rPh sb="0" eb="1">
      <t>デ</t>
    </rPh>
    <rPh sb="2" eb="3">
      <t>ハリ</t>
    </rPh>
    <rPh sb="4" eb="5">
      <t>サキ</t>
    </rPh>
    <phoneticPr fontId="1"/>
  </si>
  <si>
    <t>用　　件</t>
    <rPh sb="0" eb="1">
      <t>ヨウ</t>
    </rPh>
    <rPh sb="3" eb="4">
      <t>ケン</t>
    </rPh>
    <phoneticPr fontId="1"/>
  </si>
  <si>
    <t>期　　間</t>
    <rPh sb="0" eb="1">
      <t>キ</t>
    </rPh>
    <rPh sb="3" eb="4">
      <t>アイダ</t>
    </rPh>
    <phoneticPr fontId="1"/>
  </si>
  <si>
    <t>仮払金</t>
    <rPh sb="0" eb="2">
      <t>カリバラ</t>
    </rPh>
    <rPh sb="2" eb="3">
      <t>キン</t>
    </rPh>
    <phoneticPr fontId="1"/>
  </si>
  <si>
    <t>支払金額</t>
    <rPh sb="0" eb="2">
      <t>シハライ</t>
    </rPh>
    <rPh sb="2" eb="4">
      <t>キンガク</t>
    </rPh>
    <phoneticPr fontId="1"/>
  </si>
  <si>
    <t>経　費　合　計</t>
    <rPh sb="0" eb="1">
      <t>キョウ</t>
    </rPh>
    <rPh sb="2" eb="3">
      <t>ヒ</t>
    </rPh>
    <rPh sb="4" eb="5">
      <t>ゴウ</t>
    </rPh>
    <rPh sb="6" eb="7">
      <t>ケイ</t>
    </rPh>
    <phoneticPr fontId="1"/>
  </si>
  <si>
    <t>申請日</t>
    <rPh sb="0" eb="3">
      <t>シンセイビ</t>
    </rPh>
    <phoneticPr fontId="1"/>
  </si>
  <si>
    <t>氏　名</t>
    <rPh sb="0" eb="1">
      <t>ウジ</t>
    </rPh>
    <rPh sb="2" eb="3">
      <t>ナ</t>
    </rPh>
    <phoneticPr fontId="1"/>
  </si>
  <si>
    <t>支払日</t>
    <rPh sb="0" eb="3">
      <t>シハライビ</t>
    </rPh>
    <phoneticPr fontId="1"/>
  </si>
  <si>
    <t>自</t>
    <rPh sb="0" eb="1">
      <t>ジ</t>
    </rPh>
    <phoneticPr fontId="1"/>
  </si>
  <si>
    <t>至</t>
    <rPh sb="0" eb="1">
      <t>イタ</t>
    </rPh>
    <phoneticPr fontId="1"/>
  </si>
  <si>
    <t>会社支給チケット（AMEX等）</t>
    <rPh sb="0" eb="2">
      <t>カイシャ</t>
    </rPh>
    <rPh sb="2" eb="4">
      <t>シキュウ</t>
    </rPh>
    <rPh sb="13" eb="14">
      <t>トウ</t>
    </rPh>
    <phoneticPr fontId="1"/>
  </si>
  <si>
    <t>㈱カスケディア・トレーディング</t>
    <phoneticPr fontId="1"/>
  </si>
  <si>
    <t>平松畜産</t>
    <phoneticPr fontId="1"/>
  </si>
  <si>
    <t>平松畜産　商談</t>
    <rPh sb="0" eb="2">
      <t>ヒラマツ</t>
    </rPh>
    <rPh sb="2" eb="4">
      <t>チクサン</t>
    </rPh>
    <rPh sb="5" eb="7">
      <t>ショウダン</t>
    </rPh>
    <phoneticPr fontId="1"/>
  </si>
  <si>
    <t>ホテル　都城</t>
    <rPh sb="4" eb="6">
      <t>ミヤコジョウ</t>
    </rPh>
    <phoneticPr fontId="1"/>
  </si>
  <si>
    <t>AMEX</t>
  </si>
  <si>
    <t>AMEX　計</t>
    <rPh sb="5" eb="6">
      <t>ケイ</t>
    </rPh>
    <phoneticPr fontId="1"/>
  </si>
  <si>
    <t>立替　計</t>
    <rPh sb="0" eb="2">
      <t>タテカエ</t>
    </rPh>
    <rPh sb="3" eb="4">
      <t>ケイ</t>
    </rPh>
    <phoneticPr fontId="1"/>
  </si>
  <si>
    <t>宿泊(C）</t>
    <rPh sb="0" eb="1">
      <t>ヤド</t>
    </rPh>
    <rPh sb="1" eb="2">
      <t>ハク</t>
    </rPh>
    <phoneticPr fontId="1"/>
  </si>
  <si>
    <t>宿泊(A）</t>
    <rPh sb="0" eb="1">
      <t>ヤド</t>
    </rPh>
    <rPh sb="1" eb="2">
      <t>ハク</t>
    </rPh>
    <phoneticPr fontId="1"/>
  </si>
  <si>
    <t>宿泊(B）</t>
    <rPh sb="0" eb="1">
      <t>ヤド</t>
    </rPh>
    <rPh sb="1" eb="2">
      <t>ハク</t>
    </rPh>
    <phoneticPr fontId="1"/>
  </si>
  <si>
    <t>日当(C）</t>
    <rPh sb="0" eb="2">
      <t>ニットウ</t>
    </rPh>
    <phoneticPr fontId="1"/>
  </si>
  <si>
    <t>旅費交通費合計（A＋B＋C）</t>
    <rPh sb="0" eb="2">
      <t>リョヒ</t>
    </rPh>
    <rPh sb="2" eb="5">
      <t>コウツウヒ</t>
    </rPh>
    <rPh sb="5" eb="7">
      <t>ゴウケイ</t>
    </rPh>
    <phoneticPr fontId="1"/>
  </si>
  <si>
    <t>小野　レミ</t>
    <rPh sb="0" eb="2">
      <t>オノ</t>
    </rPh>
    <phoneticPr fontId="1"/>
  </si>
  <si>
    <t>日当(B）</t>
    <rPh sb="0" eb="2">
      <t>ニットウ</t>
    </rPh>
    <phoneticPr fontId="1"/>
  </si>
  <si>
    <t>旅費交通費合計（A＋B）</t>
    <rPh sb="0" eb="2">
      <t>リョヒ</t>
    </rPh>
    <rPh sb="2" eb="5">
      <t>コウツウヒ</t>
    </rPh>
    <rPh sb="5" eb="7">
      <t>ゴウケイ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</si>
</sst>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¥&quot;#,##0;[Red]&quot;¥&quot;\-#,##0"/>
    <numFmt numFmtId="176" formatCode="yyyy/mm/dd"/>
    <numFmt numFmtId="177" formatCode="[$¥-411]#,##0.00;[$¥-411]#,##0.00"/>
    <numFmt numFmtId="178" formatCode="[$¥-411]#,##0;[$¥-411]#,##0"/>
    <numFmt numFmtId="179" formatCode="[$¥-411]#,##0;\-[$¥-411]#,##0"/>
    <numFmt numFmtId="180" formatCode="yyyy/m/d;@"/>
    <numFmt numFmtId="181" formatCode="h:mm;@"/>
    <numFmt numFmtId="182" formatCode="yyyy&quot;年&quot;m&quot;月&quot;d&quot;日&quot;;@"/>
  </numFmts>
  <fonts count="1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游ゴシック"/>
      <family val="3"/>
      <charset val="128"/>
    </font>
    <font>
      <sz val="11"/>
      <name val="游ゴシック"/>
      <family val="3"/>
      <charset val="128"/>
    </font>
    <font>
      <b/>
      <u/>
      <sz val="16"/>
      <name val="游ゴシック"/>
      <family val="3"/>
      <charset val="128"/>
    </font>
    <font>
      <b/>
      <i/>
      <u/>
      <sz val="12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  <font>
      <sz val="8"/>
      <name val="游ゴシック"/>
      <family val="3"/>
      <charset val="128"/>
    </font>
    <font>
      <b/>
      <i/>
      <u/>
      <sz val="10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9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name val="游ゴシック"/>
      <family val="3"/>
      <charset val="128"/>
    </font>
    <font>
      <sz val="16"/>
      <color theme="1"/>
      <name val="游ゴシック"/>
      <family val="3"/>
      <charset val="128"/>
    </font>
    <font>
      <b/>
      <u/>
      <sz val="12"/>
      <name val="游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auto="1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auto="1"/>
      </bottom>
      <diagonal/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auto="1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/>
    <xf numFmtId="0" fontId="2" fillId="0" borderId="0"/>
    <xf numFmtId="6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38" fontId="4" fillId="0" borderId="0" xfId="1" applyFont="1" applyFill="1" applyBorder="1" applyProtection="1"/>
    <xf numFmtId="0" fontId="5" fillId="0" borderId="0" xfId="0" applyFont="1">
      <alignment vertical="center"/>
    </xf>
    <xf numFmtId="38" fontId="6" fillId="0" borderId="0" xfId="1" applyFont="1" applyFill="1" applyBorder="1" applyAlignment="1" applyProtection="1">
      <alignment horizontal="centerContinuous"/>
    </xf>
    <xf numFmtId="38" fontId="7" fillId="0" borderId="0" xfId="1" applyFont="1" applyFill="1" applyBorder="1" applyAlignment="1" applyProtection="1">
      <alignment horizontal="centerContinuous"/>
    </xf>
    <xf numFmtId="38" fontId="7" fillId="0" borderId="0" xfId="1" applyFont="1" applyFill="1" applyBorder="1" applyProtection="1"/>
    <xf numFmtId="38" fontId="8" fillId="0" borderId="0" xfId="1" applyFont="1" applyBorder="1" applyAlignment="1" applyProtection="1">
      <alignment horizontal="centerContinuous"/>
    </xf>
    <xf numFmtId="38" fontId="7" fillId="0" borderId="0" xfId="1" applyFont="1" applyBorder="1" applyAlignment="1" applyProtection="1">
      <alignment horizontal="centerContinuous"/>
    </xf>
    <xf numFmtId="0" fontId="4" fillId="0" borderId="0" xfId="2" applyFont="1"/>
    <xf numFmtId="38" fontId="9" fillId="0" borderId="4" xfId="1" applyFont="1" applyBorder="1" applyAlignment="1" applyProtection="1">
      <alignment vertical="center"/>
    </xf>
    <xf numFmtId="38" fontId="7" fillId="0" borderId="0" xfId="1" applyFont="1" applyFill="1" applyBorder="1" applyAlignment="1" applyProtection="1">
      <alignment horizontal="centerContinuous" vertical="center"/>
    </xf>
    <xf numFmtId="38" fontId="7" fillId="0" borderId="0" xfId="1" applyFont="1" applyBorder="1" applyAlignment="1" applyProtection="1">
      <alignment horizontal="centerContinuous" vertical="center"/>
    </xf>
    <xf numFmtId="38" fontId="4" fillId="0" borderId="0" xfId="1" quotePrefix="1" applyFont="1" applyBorder="1" applyAlignment="1" applyProtection="1">
      <alignment horizontal="left" vertical="center"/>
    </xf>
    <xf numFmtId="38" fontId="7" fillId="0" borderId="0" xfId="1" applyFont="1" applyFill="1" applyBorder="1" applyAlignment="1" applyProtection="1">
      <alignment vertical="center"/>
    </xf>
    <xf numFmtId="38" fontId="9" fillId="0" borderId="0" xfId="1" applyFont="1" applyFill="1" applyBorder="1" applyAlignment="1" applyProtection="1">
      <alignment vertical="center"/>
    </xf>
    <xf numFmtId="38" fontId="4" fillId="0" borderId="0" xfId="1" applyFont="1" applyFill="1" applyBorder="1" applyAlignment="1" applyProtection="1">
      <alignment vertical="center"/>
    </xf>
    <xf numFmtId="176" fontId="4" fillId="0" borderId="0" xfId="1" applyNumberFormat="1" applyFont="1" applyFill="1" applyBorder="1" applyAlignment="1" applyProtection="1">
      <alignment horizontal="left" vertical="center"/>
      <protection locked="0"/>
    </xf>
    <xf numFmtId="38" fontId="4" fillId="0" borderId="0" xfId="1" applyFont="1" applyBorder="1" applyAlignment="1" applyProtection="1">
      <alignment vertical="center"/>
    </xf>
    <xf numFmtId="0" fontId="4" fillId="0" borderId="0" xfId="2" applyFont="1" applyAlignment="1">
      <alignment vertical="center"/>
    </xf>
    <xf numFmtId="38" fontId="9" fillId="0" borderId="4" xfId="1" applyFont="1" applyBorder="1" applyAlignment="1" applyProtection="1">
      <alignment horizontal="left" vertical="center"/>
    </xf>
    <xf numFmtId="38" fontId="10" fillId="0" borderId="0" xfId="1" applyFont="1" applyBorder="1" applyAlignment="1" applyProtection="1">
      <alignment vertical="center"/>
    </xf>
    <xf numFmtId="0" fontId="10" fillId="0" borderId="0" xfId="2" applyFont="1" applyAlignment="1">
      <alignment vertical="center"/>
    </xf>
    <xf numFmtId="38" fontId="4" fillId="0" borderId="0" xfId="1" applyFont="1" applyBorder="1" applyAlignment="1" applyProtection="1">
      <alignment horizontal="center" vertical="center"/>
    </xf>
    <xf numFmtId="38" fontId="4" fillId="3" borderId="6" xfId="1" applyFont="1" applyFill="1" applyBorder="1" applyAlignment="1" applyProtection="1">
      <alignment horizontal="right" vertical="center"/>
    </xf>
    <xf numFmtId="38" fontId="4" fillId="3" borderId="27" xfId="1" applyFont="1" applyFill="1" applyBorder="1" applyAlignment="1" applyProtection="1">
      <alignment horizontal="left" vertical="center"/>
    </xf>
    <xf numFmtId="38" fontId="4" fillId="3" borderId="28" xfId="1" quotePrefix="1" applyFont="1" applyFill="1" applyBorder="1" applyAlignment="1" applyProtection="1">
      <alignment horizontal="left" vertical="center"/>
    </xf>
    <xf numFmtId="38" fontId="4" fillId="2" borderId="27" xfId="1" applyFont="1" applyFill="1" applyBorder="1" applyAlignment="1" applyProtection="1">
      <alignment vertical="center"/>
    </xf>
    <xf numFmtId="38" fontId="4" fillId="2" borderId="28" xfId="1" applyFont="1" applyFill="1" applyBorder="1" applyAlignment="1" applyProtection="1">
      <alignment vertical="center"/>
    </xf>
    <xf numFmtId="38" fontId="4" fillId="3" borderId="27" xfId="1" applyFont="1" applyFill="1" applyBorder="1" applyAlignment="1" applyProtection="1">
      <alignment vertical="center"/>
    </xf>
    <xf numFmtId="38" fontId="11" fillId="3" borderId="27" xfId="1" applyFont="1" applyFill="1" applyBorder="1" applyAlignment="1" applyProtection="1">
      <alignment horizontal="centerContinuous" vertical="center"/>
    </xf>
    <xf numFmtId="38" fontId="11" fillId="3" borderId="7" xfId="1" applyFont="1" applyFill="1" applyBorder="1" applyAlignment="1" applyProtection="1">
      <alignment horizontal="centerContinuous" vertical="center"/>
    </xf>
    <xf numFmtId="38" fontId="4" fillId="0" borderId="8" xfId="1" applyFont="1" applyBorder="1" applyAlignment="1" applyProtection="1">
      <alignment horizontal="right" vertical="center"/>
    </xf>
    <xf numFmtId="38" fontId="12" fillId="0" borderId="0" xfId="1" applyFont="1" applyBorder="1" applyAlignment="1" applyProtection="1">
      <alignment vertical="center"/>
    </xf>
    <xf numFmtId="38" fontId="4" fillId="0" borderId="3" xfId="1" applyFont="1" applyBorder="1" applyAlignment="1" applyProtection="1">
      <alignment vertical="center"/>
    </xf>
    <xf numFmtId="38" fontId="11" fillId="0" borderId="0" xfId="1" applyFont="1" applyBorder="1" applyAlignment="1" applyProtection="1">
      <alignment horizontal="centerContinuous" vertical="center"/>
    </xf>
    <xf numFmtId="38" fontId="11" fillId="0" borderId="9" xfId="1" applyFont="1" applyBorder="1" applyAlignment="1" applyProtection="1">
      <alignment horizontal="centerContinuous" vertical="center"/>
    </xf>
    <xf numFmtId="38" fontId="4" fillId="0" borderId="10" xfId="1" applyFont="1" applyBorder="1" applyAlignment="1" applyProtection="1">
      <alignment horizontal="right" vertical="center"/>
    </xf>
    <xf numFmtId="38" fontId="4" fillId="0" borderId="21" xfId="1" applyFont="1" applyBorder="1" applyAlignment="1" applyProtection="1">
      <alignment vertical="center"/>
    </xf>
    <xf numFmtId="38" fontId="4" fillId="0" borderId="31" xfId="1" applyFont="1" applyBorder="1" applyAlignment="1" applyProtection="1">
      <alignment vertical="center"/>
    </xf>
    <xf numFmtId="38" fontId="11" fillId="0" borderId="21" xfId="1" applyFont="1" applyBorder="1" applyAlignment="1" applyProtection="1">
      <alignment horizontal="centerContinuous" vertical="center"/>
    </xf>
    <xf numFmtId="38" fontId="11" fillId="0" borderId="12" xfId="1" applyFont="1" applyBorder="1" applyAlignment="1" applyProtection="1">
      <alignment horizontal="centerContinuous" vertical="center"/>
    </xf>
    <xf numFmtId="38" fontId="4" fillId="0" borderId="0" xfId="1" applyFont="1" applyBorder="1" applyAlignment="1" applyProtection="1">
      <alignment horizontal="left" vertical="center"/>
    </xf>
    <xf numFmtId="38" fontId="5" fillId="8" borderId="6" xfId="1" applyFont="1" applyFill="1" applyBorder="1" applyAlignment="1" applyProtection="1">
      <alignment horizontal="centerContinuous" vertical="center"/>
    </xf>
    <xf numFmtId="38" fontId="4" fillId="8" borderId="7" xfId="1" applyFont="1" applyFill="1" applyBorder="1" applyAlignment="1" applyProtection="1">
      <alignment horizontal="centerContinuous" vertical="center"/>
    </xf>
    <xf numFmtId="38" fontId="5" fillId="7" borderId="27" xfId="1" applyFont="1" applyFill="1" applyBorder="1" applyAlignment="1" applyProtection="1">
      <alignment horizontal="centerContinuous" vertical="center"/>
    </xf>
    <xf numFmtId="38" fontId="5" fillId="7" borderId="7" xfId="1" applyFont="1" applyFill="1" applyBorder="1" applyAlignment="1" applyProtection="1">
      <alignment horizontal="centerContinuous" vertical="center"/>
    </xf>
    <xf numFmtId="0" fontId="4" fillId="8" borderId="61" xfId="0" applyFont="1" applyFill="1" applyBorder="1" applyAlignment="1">
      <alignment horizontal="center" vertical="center"/>
    </xf>
    <xf numFmtId="38" fontId="4" fillId="8" borderId="62" xfId="1" applyFont="1" applyFill="1" applyBorder="1" applyAlignment="1" applyProtection="1">
      <alignment horizontal="center" vertical="center"/>
    </xf>
    <xf numFmtId="38" fontId="4" fillId="7" borderId="21" xfId="1" applyFont="1" applyFill="1" applyBorder="1" applyAlignment="1" applyProtection="1">
      <alignment horizontal="center" vertical="center"/>
    </xf>
    <xf numFmtId="38" fontId="4" fillId="7" borderId="22" xfId="1" applyFont="1" applyFill="1" applyBorder="1" applyAlignment="1" applyProtection="1">
      <alignment horizontal="center" vertical="center"/>
    </xf>
    <xf numFmtId="181" fontId="13" fillId="0" borderId="18" xfId="1" applyNumberFormat="1" applyFont="1" applyFill="1" applyBorder="1" applyAlignment="1" applyProtection="1">
      <alignment horizontal="center" vertical="center"/>
      <protection locked="0"/>
    </xf>
    <xf numFmtId="181" fontId="13" fillId="0" borderId="50" xfId="1" applyNumberFormat="1" applyFont="1" applyFill="1" applyBorder="1" applyAlignment="1" applyProtection="1">
      <alignment horizontal="center" vertical="center"/>
      <protection locked="0"/>
    </xf>
    <xf numFmtId="38" fontId="13" fillId="0" borderId="50" xfId="1" applyFont="1" applyFill="1" applyBorder="1" applyAlignment="1" applyProtection="1">
      <alignment vertical="center"/>
      <protection locked="0"/>
    </xf>
    <xf numFmtId="38" fontId="13" fillId="0" borderId="5" xfId="1" applyFont="1" applyFill="1" applyBorder="1" applyAlignment="1" applyProtection="1">
      <alignment vertical="center"/>
      <protection locked="0"/>
    </xf>
    <xf numFmtId="38" fontId="13" fillId="8" borderId="63" xfId="1" applyFont="1" applyFill="1" applyBorder="1" applyAlignment="1" applyProtection="1">
      <alignment horizontal="center" vertical="center"/>
      <protection locked="0"/>
    </xf>
    <xf numFmtId="38" fontId="13" fillId="8" borderId="9" xfId="1" applyFont="1" applyFill="1" applyBorder="1" applyAlignment="1" applyProtection="1">
      <alignment vertical="center"/>
    </xf>
    <xf numFmtId="181" fontId="13" fillId="0" borderId="19" xfId="1" applyNumberFormat="1" applyFont="1" applyFill="1" applyBorder="1" applyAlignment="1" applyProtection="1">
      <alignment horizontal="center" vertical="center"/>
      <protection locked="0"/>
    </xf>
    <xf numFmtId="38" fontId="13" fillId="0" borderId="34" xfId="1" applyFont="1" applyFill="1" applyBorder="1" applyAlignment="1" applyProtection="1">
      <alignment vertical="center"/>
      <protection locked="0"/>
    </xf>
    <xf numFmtId="38" fontId="13" fillId="0" borderId="23" xfId="1" applyFont="1" applyFill="1" applyBorder="1" applyAlignment="1" applyProtection="1">
      <alignment vertical="center"/>
      <protection locked="0"/>
    </xf>
    <xf numFmtId="38" fontId="13" fillId="8" borderId="64" xfId="1" applyFont="1" applyFill="1" applyBorder="1" applyAlignment="1" applyProtection="1">
      <alignment horizontal="center" vertical="center"/>
    </xf>
    <xf numFmtId="38" fontId="13" fillId="8" borderId="51" xfId="1" applyFont="1" applyFill="1" applyBorder="1" applyAlignment="1" applyProtection="1">
      <alignment vertical="center"/>
    </xf>
    <xf numFmtId="0" fontId="5" fillId="0" borderId="9" xfId="0" applyFont="1" applyBorder="1">
      <alignment vertical="center"/>
    </xf>
    <xf numFmtId="181" fontId="13" fillId="0" borderId="34" xfId="1" applyNumberFormat="1" applyFont="1" applyFill="1" applyBorder="1" applyAlignment="1" applyProtection="1">
      <alignment horizontal="center" vertical="center"/>
      <protection locked="0"/>
    </xf>
    <xf numFmtId="38" fontId="13" fillId="8" borderId="35" xfId="1" applyFont="1" applyFill="1" applyBorder="1" applyAlignment="1" applyProtection="1">
      <alignment vertical="center"/>
    </xf>
    <xf numFmtId="38" fontId="13" fillId="7" borderId="33" xfId="1" applyFont="1" applyFill="1" applyBorder="1" applyAlignment="1" applyProtection="1">
      <alignment horizontal="right" vertical="center"/>
      <protection locked="0"/>
    </xf>
    <xf numFmtId="38" fontId="4" fillId="0" borderId="8" xfId="1" applyFont="1" applyFill="1" applyBorder="1" applyAlignment="1" applyProtection="1">
      <alignment vertical="center"/>
    </xf>
    <xf numFmtId="38" fontId="13" fillId="7" borderId="35" xfId="1" applyFont="1" applyFill="1" applyBorder="1" applyAlignment="1" applyProtection="1">
      <alignment horizontal="right" vertical="center"/>
      <protection locked="0"/>
    </xf>
    <xf numFmtId="181" fontId="13" fillId="0" borderId="31" xfId="1" applyNumberFormat="1" applyFont="1" applyFill="1" applyBorder="1" applyAlignment="1" applyProtection="1">
      <alignment horizontal="center" vertical="center"/>
      <protection locked="0"/>
    </xf>
    <xf numFmtId="38" fontId="13" fillId="0" borderId="20" xfId="1" applyFont="1" applyFill="1" applyBorder="1" applyAlignment="1" applyProtection="1">
      <alignment vertical="center"/>
      <protection locked="0"/>
    </xf>
    <xf numFmtId="38" fontId="13" fillId="0" borderId="21" xfId="1" applyFont="1" applyFill="1" applyBorder="1" applyAlignment="1" applyProtection="1">
      <alignment vertical="center"/>
      <protection locked="0"/>
    </xf>
    <xf numFmtId="38" fontId="13" fillId="8" borderId="29" xfId="1" applyFont="1" applyFill="1" applyBorder="1" applyAlignment="1" applyProtection="1">
      <alignment horizontal="center" vertical="center"/>
    </xf>
    <xf numFmtId="38" fontId="13" fillId="8" borderId="12" xfId="1" applyFont="1" applyFill="1" applyBorder="1" applyAlignment="1" applyProtection="1">
      <alignment vertical="center"/>
    </xf>
    <xf numFmtId="38" fontId="13" fillId="7" borderId="54" xfId="1" applyFont="1" applyFill="1" applyBorder="1" applyAlignment="1" applyProtection="1">
      <alignment horizontal="right" vertical="center"/>
      <protection locked="0"/>
    </xf>
    <xf numFmtId="38" fontId="5" fillId="2" borderId="10" xfId="1" applyFont="1" applyFill="1" applyBorder="1" applyAlignment="1" applyProtection="1">
      <alignment horizontal="centerContinuous" vertical="center"/>
    </xf>
    <xf numFmtId="38" fontId="5" fillId="2" borderId="21" xfId="1" applyFont="1" applyFill="1" applyBorder="1" applyAlignment="1" applyProtection="1">
      <alignment horizontal="centerContinuous" vertical="center"/>
    </xf>
    <xf numFmtId="38" fontId="4" fillId="2" borderId="21" xfId="1" applyFont="1" applyFill="1" applyBorder="1" applyAlignment="1" applyProtection="1">
      <alignment horizontal="centerContinuous" vertical="center"/>
    </xf>
    <xf numFmtId="38" fontId="4" fillId="2" borderId="15" xfId="1" applyFont="1" applyFill="1" applyBorder="1" applyAlignment="1" applyProtection="1">
      <alignment vertical="center"/>
    </xf>
    <xf numFmtId="38" fontId="12" fillId="8" borderId="60" xfId="1" applyFont="1" applyFill="1" applyBorder="1" applyAlignment="1" applyProtection="1">
      <alignment vertical="center"/>
    </xf>
    <xf numFmtId="38" fontId="4" fillId="7" borderId="43" xfId="1" applyFont="1" applyFill="1" applyBorder="1" applyAlignment="1" applyProtection="1">
      <alignment vertical="center"/>
    </xf>
    <xf numFmtId="38" fontId="4" fillId="7" borderId="53" xfId="1" applyFont="1" applyFill="1" applyBorder="1" applyAlignment="1" applyProtection="1">
      <alignment vertical="center"/>
    </xf>
    <xf numFmtId="38" fontId="4" fillId="2" borderId="24" xfId="1" applyFont="1" applyFill="1" applyBorder="1" applyAlignment="1" applyProtection="1">
      <alignment vertical="center"/>
    </xf>
    <xf numFmtId="38" fontId="12" fillId="7" borderId="60" xfId="1" applyFont="1" applyFill="1" applyBorder="1" applyAlignment="1" applyProtection="1">
      <alignment vertical="center"/>
    </xf>
    <xf numFmtId="38" fontId="4" fillId="7" borderId="11" xfId="1" applyFont="1" applyFill="1" applyBorder="1" applyAlignment="1" applyProtection="1">
      <alignment vertical="center"/>
    </xf>
    <xf numFmtId="38" fontId="4" fillId="7" borderId="22" xfId="1" applyFont="1" applyFill="1" applyBorder="1" applyAlignment="1" applyProtection="1">
      <alignment vertical="center"/>
    </xf>
    <xf numFmtId="38" fontId="4" fillId="0" borderId="0" xfId="1" applyFont="1" applyBorder="1" applyAlignment="1" applyProtection="1">
      <alignment horizontal="centerContinuous" vertical="center"/>
    </xf>
    <xf numFmtId="0" fontId="14" fillId="0" borderId="24" xfId="0" applyFont="1" applyBorder="1">
      <alignment vertical="center"/>
    </xf>
    <xf numFmtId="38" fontId="4" fillId="0" borderId="24" xfId="1" applyFont="1" applyBorder="1" applyAlignment="1" applyProtection="1">
      <alignment horizontal="center" vertical="center"/>
    </xf>
    <xf numFmtId="178" fontId="12" fillId="5" borderId="14" xfId="0" quotePrefix="1" applyNumberFormat="1" applyFont="1" applyFill="1" applyBorder="1">
      <alignment vertical="center"/>
    </xf>
    <xf numFmtId="0" fontId="5" fillId="0" borderId="15" xfId="0" quotePrefix="1" applyFont="1" applyBorder="1" applyAlignment="1">
      <alignment horizontal="center" vertical="center"/>
    </xf>
    <xf numFmtId="38" fontId="12" fillId="5" borderId="15" xfId="1" applyFont="1" applyFill="1" applyBorder="1" applyAlignment="1" applyProtection="1">
      <alignment horizontal="centerContinuous" vertical="center"/>
    </xf>
    <xf numFmtId="38" fontId="4" fillId="0" borderId="24" xfId="1" applyFont="1" applyBorder="1" applyAlignment="1" applyProtection="1">
      <alignment horizontal="centerContinuous" vertical="center"/>
    </xf>
    <xf numFmtId="178" fontId="12" fillId="0" borderId="37" xfId="1" applyNumberFormat="1" applyFont="1" applyBorder="1" applyAlignment="1" applyProtection="1">
      <alignment vertical="center"/>
    </xf>
    <xf numFmtId="178" fontId="12" fillId="5" borderId="25" xfId="0" quotePrefix="1" applyNumberFormat="1" applyFont="1" applyFill="1" applyBorder="1">
      <alignment vertical="center"/>
    </xf>
    <xf numFmtId="0" fontId="5" fillId="0" borderId="36" xfId="0" quotePrefix="1" applyFont="1" applyBorder="1" applyAlignment="1">
      <alignment horizontal="center" vertical="center"/>
    </xf>
    <xf numFmtId="38" fontId="12" fillId="5" borderId="36" xfId="1" applyFont="1" applyFill="1" applyBorder="1" applyAlignment="1" applyProtection="1">
      <alignment horizontal="centerContinuous" vertical="center"/>
    </xf>
    <xf numFmtId="38" fontId="4" fillId="0" borderId="30" xfId="1" applyFont="1" applyBorder="1" applyAlignment="1" applyProtection="1">
      <alignment horizontal="centerContinuous" vertical="center"/>
    </xf>
    <xf numFmtId="178" fontId="12" fillId="0" borderId="38" xfId="1" applyNumberFormat="1" applyFont="1" applyBorder="1" applyAlignment="1" applyProtection="1">
      <alignment vertical="center"/>
    </xf>
    <xf numFmtId="178" fontId="12" fillId="0" borderId="16" xfId="1" applyNumberFormat="1" applyFont="1" applyBorder="1" applyAlignment="1" applyProtection="1">
      <alignment vertical="center"/>
    </xf>
    <xf numFmtId="178" fontId="12" fillId="9" borderId="13" xfId="0" quotePrefix="1" applyNumberFormat="1" applyFont="1" applyFill="1" applyBorder="1">
      <alignment vertical="center"/>
    </xf>
    <xf numFmtId="0" fontId="9" fillId="9" borderId="15" xfId="0" applyFont="1" applyFill="1" applyBorder="1">
      <alignment vertical="center"/>
    </xf>
    <xf numFmtId="0" fontId="4" fillId="0" borderId="24" xfId="0" applyFont="1" applyBorder="1" applyAlignment="1">
      <alignment horizontal="center" vertical="center"/>
    </xf>
    <xf numFmtId="38" fontId="4" fillId="0" borderId="0" xfId="1" applyFont="1" applyBorder="1" applyProtection="1"/>
    <xf numFmtId="0" fontId="9" fillId="2" borderId="0" xfId="0" applyFont="1" applyFill="1">
      <alignment vertical="center"/>
    </xf>
    <xf numFmtId="0" fontId="5" fillId="0" borderId="45" xfId="0" applyFont="1" applyBorder="1">
      <alignment vertical="center"/>
    </xf>
    <xf numFmtId="38" fontId="10" fillId="0" borderId="0" xfId="1" applyFont="1" applyBorder="1" applyAlignment="1" applyProtection="1">
      <alignment horizontal="center" vertical="center"/>
    </xf>
    <xf numFmtId="0" fontId="5" fillId="0" borderId="16" xfId="0" applyFont="1" applyBorder="1" applyAlignment="1">
      <alignment horizontal="distributed" vertical="center"/>
    </xf>
    <xf numFmtId="0" fontId="5" fillId="0" borderId="40" xfId="0" applyFont="1" applyBorder="1">
      <alignment vertical="center"/>
    </xf>
    <xf numFmtId="0" fontId="5" fillId="0" borderId="36" xfId="0" applyFont="1" applyBorder="1">
      <alignment vertical="center"/>
    </xf>
    <xf numFmtId="0" fontId="5" fillId="0" borderId="30" xfId="0" applyFont="1" applyBorder="1">
      <alignment vertical="center"/>
    </xf>
    <xf numFmtId="0" fontId="5" fillId="0" borderId="38" xfId="0" applyFont="1" applyBorder="1">
      <alignment vertical="center"/>
    </xf>
    <xf numFmtId="0" fontId="8" fillId="0" borderId="21" xfId="0" applyFont="1" applyBorder="1">
      <alignment vertical="center"/>
    </xf>
    <xf numFmtId="0" fontId="17" fillId="0" borderId="21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12" xfId="0" applyFont="1" applyBorder="1">
      <alignment vertical="center"/>
    </xf>
    <xf numFmtId="38" fontId="13" fillId="7" borderId="5" xfId="1" applyFont="1" applyFill="1" applyBorder="1" applyAlignment="1" applyProtection="1">
      <alignment horizontal="right" vertical="center"/>
      <protection locked="0"/>
    </xf>
    <xf numFmtId="38" fontId="13" fillId="7" borderId="49" xfId="1" applyFont="1" applyFill="1" applyBorder="1" applyAlignment="1" applyProtection="1">
      <alignment horizontal="right" vertical="center"/>
      <protection locked="0"/>
    </xf>
    <xf numFmtId="38" fontId="13" fillId="7" borderId="23" xfId="1" applyFont="1" applyFill="1" applyBorder="1" applyAlignment="1" applyProtection="1">
      <alignment horizontal="right" vertical="center"/>
    </xf>
    <xf numFmtId="38" fontId="13" fillId="7" borderId="35" xfId="1" applyFont="1" applyFill="1" applyBorder="1" applyAlignment="1" applyProtection="1">
      <alignment horizontal="right" vertical="center"/>
    </xf>
    <xf numFmtId="38" fontId="13" fillId="7" borderId="23" xfId="1" applyFont="1" applyFill="1" applyBorder="1" applyAlignment="1" applyProtection="1">
      <alignment horizontal="right" vertical="center"/>
      <protection locked="0"/>
    </xf>
    <xf numFmtId="38" fontId="13" fillId="7" borderId="48" xfId="1" applyFont="1" applyFill="1" applyBorder="1" applyAlignment="1" applyProtection="1">
      <alignment horizontal="right" vertical="center"/>
      <protection locked="0"/>
    </xf>
    <xf numFmtId="38" fontId="13" fillId="7" borderId="35" xfId="4" applyFont="1" applyFill="1" applyBorder="1" applyAlignment="1">
      <alignment horizontal="right" vertical="center"/>
    </xf>
    <xf numFmtId="38" fontId="13" fillId="7" borderId="51" xfId="1" applyFont="1" applyFill="1" applyBorder="1" applyAlignment="1" applyProtection="1">
      <alignment horizontal="right" vertical="center"/>
      <protection locked="0"/>
    </xf>
    <xf numFmtId="38" fontId="13" fillId="7" borderId="21" xfId="1" applyFont="1" applyFill="1" applyBorder="1" applyAlignment="1" applyProtection="1">
      <alignment horizontal="right" vertical="center"/>
      <protection locked="0"/>
    </xf>
    <xf numFmtId="38" fontId="10" fillId="0" borderId="41" xfId="1" applyFont="1" applyBorder="1" applyAlignment="1" applyProtection="1">
      <alignment vertical="center" wrapText="1"/>
    </xf>
    <xf numFmtId="38" fontId="4" fillId="2" borderId="0" xfId="1" applyFont="1" applyFill="1" applyBorder="1" applyAlignment="1" applyProtection="1">
      <alignment horizontal="center" vertical="center" wrapText="1"/>
    </xf>
    <xf numFmtId="38" fontId="4" fillId="2" borderId="0" xfId="1" applyFont="1" applyFill="1" applyBorder="1" applyAlignment="1" applyProtection="1">
      <alignment horizontal="center" vertical="center"/>
    </xf>
    <xf numFmtId="0" fontId="8" fillId="0" borderId="0" xfId="0" applyFont="1">
      <alignment vertical="center"/>
    </xf>
    <xf numFmtId="0" fontId="17" fillId="0" borderId="0" xfId="0" applyFont="1">
      <alignment vertical="center"/>
    </xf>
    <xf numFmtId="0" fontId="5" fillId="0" borderId="0" xfId="0" applyFont="1" applyAlignment="1">
      <alignment horizontal="distributed" vertical="center"/>
    </xf>
    <xf numFmtId="182" fontId="12" fillId="0" borderId="1" xfId="1" applyNumberFormat="1" applyFont="1" applyBorder="1" applyAlignment="1" applyProtection="1">
      <alignment horizontal="center" vertical="center"/>
    </xf>
    <xf numFmtId="182" fontId="12" fillId="0" borderId="2" xfId="1" applyNumberFormat="1" applyFont="1" applyBorder="1" applyAlignment="1" applyProtection="1">
      <alignment horizontal="center" vertical="center"/>
    </xf>
    <xf numFmtId="182" fontId="12" fillId="0" borderId="21" xfId="1" applyNumberFormat="1" applyFont="1" applyBorder="1" applyAlignment="1" applyProtection="1">
      <alignment horizontal="center" vertical="center"/>
    </xf>
    <xf numFmtId="182" fontId="12" fillId="0" borderId="31" xfId="1" applyNumberFormat="1" applyFont="1" applyBorder="1" applyAlignment="1" applyProtection="1">
      <alignment horizontal="center" vertical="center"/>
    </xf>
    <xf numFmtId="38" fontId="13" fillId="0" borderId="14" xfId="1" applyFont="1" applyBorder="1" applyAlignment="1" applyProtection="1">
      <alignment horizontal="left" vertical="center"/>
    </xf>
    <xf numFmtId="38" fontId="13" fillId="0" borderId="24" xfId="1" applyFont="1" applyBorder="1" applyAlignment="1" applyProtection="1">
      <alignment horizontal="left" vertical="center"/>
    </xf>
    <xf numFmtId="38" fontId="4" fillId="4" borderId="0" xfId="1" applyFont="1" applyFill="1" applyBorder="1" applyAlignment="1" applyProtection="1">
      <alignment horizontal="center"/>
    </xf>
    <xf numFmtId="182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178" fontId="9" fillId="6" borderId="46" xfId="0" applyNumberFormat="1" applyFont="1" applyFill="1" applyBorder="1">
      <alignment vertical="center"/>
    </xf>
    <xf numFmtId="0" fontId="9" fillId="6" borderId="46" xfId="0" applyFont="1" applyFill="1" applyBorder="1">
      <alignment vertical="center"/>
    </xf>
    <xf numFmtId="0" fontId="5" fillId="0" borderId="40" xfId="0" applyFont="1" applyBorder="1" applyAlignment="1">
      <alignment horizontal="distributed" vertical="center"/>
    </xf>
    <xf numFmtId="0" fontId="5" fillId="0" borderId="36" xfId="0" applyFont="1" applyBorder="1" applyAlignment="1">
      <alignment horizontal="distributed" vertical="center"/>
    </xf>
    <xf numFmtId="0" fontId="5" fillId="0" borderId="30" xfId="0" applyFont="1" applyBorder="1" applyAlignment="1">
      <alignment horizontal="distributed" vertical="center"/>
    </xf>
    <xf numFmtId="0" fontId="9" fillId="0" borderId="41" xfId="0" applyFont="1" applyBorder="1" applyAlignment="1">
      <alignment horizontal="right" vertical="center"/>
    </xf>
    <xf numFmtId="0" fontId="9" fillId="0" borderId="65" xfId="0" applyFont="1" applyBorder="1" applyAlignment="1">
      <alignment horizontal="right" vertical="center"/>
    </xf>
    <xf numFmtId="178" fontId="9" fillId="6" borderId="0" xfId="3" applyNumberFormat="1" applyFont="1" applyFill="1" applyAlignment="1">
      <alignment vertical="center"/>
    </xf>
    <xf numFmtId="177" fontId="9" fillId="6" borderId="0" xfId="3" applyNumberFormat="1" applyFont="1" applyFill="1" applyAlignment="1">
      <alignment vertical="center"/>
    </xf>
    <xf numFmtId="179" fontId="9" fillId="6" borderId="0" xfId="0" applyNumberFormat="1" applyFont="1" applyFill="1">
      <alignment vertical="center"/>
    </xf>
    <xf numFmtId="178" fontId="9" fillId="6" borderId="45" xfId="0" applyNumberFormat="1" applyFont="1" applyFill="1" applyBorder="1">
      <alignment vertical="center"/>
    </xf>
    <xf numFmtId="178" fontId="15" fillId="0" borderId="40" xfId="0" applyNumberFormat="1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8" xfId="0" applyFont="1" applyBorder="1">
      <alignment vertical="center"/>
    </xf>
    <xf numFmtId="0" fontId="16" fillId="0" borderId="10" xfId="0" applyFont="1" applyBorder="1">
      <alignment vertical="center"/>
    </xf>
    <xf numFmtId="0" fontId="16" fillId="0" borderId="21" xfId="0" applyFont="1" applyBorder="1">
      <alignment vertical="center"/>
    </xf>
    <xf numFmtId="0" fontId="16" fillId="0" borderId="12" xfId="0" applyFont="1" applyBorder="1">
      <alignment vertical="center"/>
    </xf>
    <xf numFmtId="38" fontId="5" fillId="2" borderId="40" xfId="1" applyFont="1" applyFill="1" applyBorder="1" applyAlignment="1" applyProtection="1">
      <alignment horizontal="center" vertical="center"/>
    </xf>
    <xf numFmtId="38" fontId="5" fillId="2" borderId="30" xfId="1" applyFont="1" applyFill="1" applyBorder="1" applyAlignment="1" applyProtection="1">
      <alignment horizontal="center" vertical="center"/>
    </xf>
    <xf numFmtId="38" fontId="5" fillId="2" borderId="10" xfId="1" applyFont="1" applyFill="1" applyBorder="1" applyAlignment="1" applyProtection="1">
      <alignment horizontal="center" vertical="center"/>
    </xf>
    <xf numFmtId="38" fontId="5" fillId="2" borderId="31" xfId="1" applyFont="1" applyFill="1" applyBorder="1" applyAlignment="1" applyProtection="1">
      <alignment horizontal="center" vertical="center"/>
    </xf>
    <xf numFmtId="38" fontId="5" fillId="2" borderId="26" xfId="1" applyFont="1" applyFill="1" applyBorder="1" applyAlignment="1" applyProtection="1">
      <alignment horizontal="center" vertical="center"/>
    </xf>
    <xf numFmtId="0" fontId="5" fillId="2" borderId="20" xfId="0" applyFont="1" applyFill="1" applyBorder="1">
      <alignment vertical="center"/>
    </xf>
    <xf numFmtId="38" fontId="5" fillId="2" borderId="25" xfId="1" applyFont="1" applyFill="1" applyBorder="1" applyAlignment="1" applyProtection="1">
      <alignment horizontal="center" vertical="center"/>
    </xf>
    <xf numFmtId="0" fontId="5" fillId="2" borderId="36" xfId="0" applyFont="1" applyFill="1" applyBorder="1">
      <alignment vertical="center"/>
    </xf>
    <xf numFmtId="0" fontId="5" fillId="2" borderId="11" xfId="0" applyFont="1" applyFill="1" applyBorder="1">
      <alignment vertical="center"/>
    </xf>
    <xf numFmtId="0" fontId="5" fillId="2" borderId="21" xfId="0" applyFont="1" applyFill="1" applyBorder="1">
      <alignment vertical="center"/>
    </xf>
    <xf numFmtId="38" fontId="4" fillId="7" borderId="58" xfId="1" applyFont="1" applyFill="1" applyBorder="1" applyAlignment="1" applyProtection="1">
      <alignment horizontal="center" vertical="center"/>
    </xf>
    <xf numFmtId="38" fontId="4" fillId="7" borderId="39" xfId="1" applyFont="1" applyFill="1" applyBorder="1" applyAlignment="1" applyProtection="1">
      <alignment horizontal="center" vertical="center"/>
    </xf>
    <xf numFmtId="38" fontId="4" fillId="7" borderId="59" xfId="1" applyFont="1" applyFill="1" applyBorder="1" applyAlignment="1" applyProtection="1">
      <alignment horizontal="center" vertical="center"/>
    </xf>
    <xf numFmtId="180" fontId="13" fillId="0" borderId="55" xfId="1" applyNumberFormat="1" applyFont="1" applyFill="1" applyBorder="1" applyAlignment="1" applyProtection="1">
      <alignment horizontal="center" vertical="center" shrinkToFit="1"/>
      <protection locked="0"/>
    </xf>
    <xf numFmtId="180" fontId="13" fillId="0" borderId="47" xfId="1" applyNumberFormat="1" applyFont="1" applyFill="1" applyBorder="1" applyAlignment="1" applyProtection="1">
      <alignment horizontal="center" vertical="center" shrinkToFit="1"/>
      <protection locked="0"/>
    </xf>
    <xf numFmtId="38" fontId="13" fillId="7" borderId="18" xfId="1" applyFont="1" applyFill="1" applyBorder="1" applyAlignment="1" applyProtection="1">
      <alignment horizontal="right" vertical="center"/>
      <protection locked="0"/>
    </xf>
    <xf numFmtId="38" fontId="13" fillId="7" borderId="5" xfId="1" applyFont="1" applyFill="1" applyBorder="1" applyAlignment="1" applyProtection="1">
      <alignment horizontal="right" vertical="center"/>
      <protection locked="0"/>
    </xf>
    <xf numFmtId="38" fontId="13" fillId="7" borderId="52" xfId="1" applyFont="1" applyFill="1" applyBorder="1" applyAlignment="1" applyProtection="1">
      <alignment horizontal="right" vertical="center"/>
      <protection locked="0"/>
    </xf>
    <xf numFmtId="180" fontId="13" fillId="0" borderId="32" xfId="1" applyNumberFormat="1" applyFont="1" applyFill="1" applyBorder="1" applyAlignment="1" applyProtection="1">
      <alignment horizontal="center" vertical="center" shrinkToFit="1"/>
      <protection locked="0"/>
    </xf>
    <xf numFmtId="180" fontId="13" fillId="0" borderId="48" xfId="1" applyNumberFormat="1" applyFont="1" applyFill="1" applyBorder="1" applyAlignment="1" applyProtection="1">
      <alignment horizontal="center" vertical="center" shrinkToFit="1"/>
      <protection locked="0"/>
    </xf>
    <xf numFmtId="38" fontId="13" fillId="7" borderId="33" xfId="1" applyFont="1" applyFill="1" applyBorder="1" applyAlignment="1" applyProtection="1">
      <alignment horizontal="right" vertical="center"/>
    </xf>
    <xf numFmtId="38" fontId="13" fillId="7" borderId="23" xfId="1" applyFont="1" applyFill="1" applyBorder="1" applyAlignment="1" applyProtection="1">
      <alignment horizontal="right" vertical="center"/>
    </xf>
    <xf numFmtId="38" fontId="13" fillId="7" borderId="48" xfId="1" applyFont="1" applyFill="1" applyBorder="1" applyAlignment="1" applyProtection="1">
      <alignment horizontal="right" vertical="center"/>
    </xf>
    <xf numFmtId="38" fontId="13" fillId="7" borderId="33" xfId="1" applyFont="1" applyFill="1" applyBorder="1" applyAlignment="1" applyProtection="1">
      <alignment horizontal="right" vertical="center"/>
      <protection locked="0"/>
    </xf>
    <xf numFmtId="38" fontId="13" fillId="7" borderId="23" xfId="1" applyFont="1" applyFill="1" applyBorder="1" applyAlignment="1" applyProtection="1">
      <alignment horizontal="right" vertical="center"/>
      <protection locked="0"/>
    </xf>
    <xf numFmtId="38" fontId="13" fillId="7" borderId="48" xfId="1" applyFont="1" applyFill="1" applyBorder="1" applyAlignment="1" applyProtection="1">
      <alignment horizontal="right" vertical="center"/>
      <protection locked="0"/>
    </xf>
    <xf numFmtId="180" fontId="13" fillId="0" borderId="17" xfId="1" applyNumberFormat="1" applyFont="1" applyFill="1" applyBorder="1" applyAlignment="1" applyProtection="1">
      <alignment horizontal="center" vertical="center" shrinkToFit="1"/>
      <protection locked="0"/>
    </xf>
    <xf numFmtId="180" fontId="13" fillId="0" borderId="52" xfId="1" applyNumberFormat="1" applyFont="1" applyFill="1" applyBorder="1" applyAlignment="1" applyProtection="1">
      <alignment horizontal="center" vertical="center" shrinkToFit="1"/>
      <protection locked="0"/>
    </xf>
    <xf numFmtId="180" fontId="13" fillId="0" borderId="56" xfId="1" applyNumberFormat="1" applyFont="1" applyFill="1" applyBorder="1" applyAlignment="1" applyProtection="1">
      <alignment horizontal="center" vertical="center"/>
    </xf>
    <xf numFmtId="180" fontId="13" fillId="0" borderId="57" xfId="1" applyNumberFormat="1" applyFont="1" applyFill="1" applyBorder="1" applyAlignment="1" applyProtection="1">
      <alignment horizontal="center" vertical="center"/>
    </xf>
    <xf numFmtId="38" fontId="13" fillId="7" borderId="11" xfId="1" applyFont="1" applyFill="1" applyBorder="1" applyAlignment="1" applyProtection="1">
      <alignment horizontal="right" vertical="center"/>
      <protection locked="0"/>
    </xf>
    <xf numFmtId="38" fontId="13" fillId="7" borderId="21" xfId="1" applyFont="1" applyFill="1" applyBorder="1" applyAlignment="1" applyProtection="1">
      <alignment horizontal="right" vertical="center"/>
      <protection locked="0"/>
    </xf>
    <xf numFmtId="38" fontId="13" fillId="7" borderId="31" xfId="1" applyFont="1" applyFill="1" applyBorder="1" applyAlignment="1" applyProtection="1">
      <alignment horizontal="right" vertical="center"/>
      <protection locked="0"/>
    </xf>
    <xf numFmtId="38" fontId="4" fillId="7" borderId="42" xfId="1" applyFont="1" applyFill="1" applyBorder="1" applyAlignment="1" applyProtection="1">
      <alignment vertical="center"/>
    </xf>
    <xf numFmtId="0" fontId="5" fillId="7" borderId="43" xfId="0" applyFont="1" applyFill="1" applyBorder="1">
      <alignment vertical="center"/>
    </xf>
    <xf numFmtId="0" fontId="5" fillId="7" borderId="44" xfId="0" applyFont="1" applyFill="1" applyBorder="1">
      <alignment vertical="center"/>
    </xf>
    <xf numFmtId="38" fontId="4" fillId="7" borderId="14" xfId="1" applyFont="1" applyFill="1" applyBorder="1" applyAlignment="1" applyProtection="1">
      <alignment vertical="center"/>
    </xf>
    <xf numFmtId="0" fontId="5" fillId="7" borderId="15" xfId="0" applyFont="1" applyFill="1" applyBorder="1">
      <alignment vertical="center"/>
    </xf>
    <xf numFmtId="0" fontId="5" fillId="7" borderId="24" xfId="0" applyFont="1" applyFill="1" applyBorder="1">
      <alignment vertical="center"/>
    </xf>
    <xf numFmtId="0" fontId="5" fillId="0" borderId="0" xfId="0" applyFont="1" applyAlignment="1">
      <alignment horizontal="distributed" vertical="center"/>
    </xf>
  </cellXfs>
  <cellStyles count="5">
    <cellStyle name="桁区切り" xfId="4" builtinId="6"/>
    <cellStyle name="桁区切り 2" xfId="1" xr:uid="{00000000-0005-0000-0000-000001000000}"/>
    <cellStyle name="通貨" xfId="3" builtinId="7"/>
    <cellStyle name="標準" xfId="0" builtinId="0"/>
    <cellStyle name="標準 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16</xdr:row>
      <xdr:rowOff>314325</xdr:rowOff>
    </xdr:from>
    <xdr:to>
      <xdr:col>7</xdr:col>
      <xdr:colOff>533401</xdr:colOff>
      <xdr:row>19</xdr:row>
      <xdr:rowOff>190500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4F078A4F-A10C-4E1D-8C5D-517B83B62C44}"/>
            </a:ext>
          </a:extLst>
        </xdr:cNvPr>
        <xdr:cNvSpPr/>
      </xdr:nvSpPr>
      <xdr:spPr>
        <a:xfrm>
          <a:off x="2933701" y="7648575"/>
          <a:ext cx="2038350" cy="800100"/>
        </a:xfrm>
        <a:prstGeom prst="wedgeRoundRectCallout">
          <a:avLst>
            <a:gd name="adj1" fmla="val 30448"/>
            <a:gd name="adj2" fmla="val -176787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ホテル宿泊代の支払い区分をプルダウンから「</a:t>
          </a:r>
          <a:r>
            <a:rPr kumimoji="1" lang="en-US" altLang="ja-JP" sz="1100"/>
            <a:t>AMEX</a:t>
          </a:r>
          <a:r>
            <a:rPr kumimoji="1" lang="ja-JP" altLang="en-US" sz="1100"/>
            <a:t>」か「立替」お選びください。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EDB8-E98A-4BFC-BBAE-C35106E99F20}">
  <sheetPr>
    <tabColor rgb="FFFFFF00"/>
  </sheetPr>
  <dimension ref="B1:P32"/>
  <sheetViews>
    <sheetView showGridLines="0" view="pageBreakPreview" zoomScaleNormal="75" zoomScaleSheetLayoutView="100" workbookViewId="0">
      <selection activeCell="U16" sqref="U16"/>
    </sheetView>
  </sheetViews>
  <sheetFormatPr defaultColWidth="9" defaultRowHeight="18.75"/>
  <cols>
    <col min="1" max="1" width="1.75" style="2" customWidth="1"/>
    <col min="2" max="3" width="8.5" style="2" customWidth="1"/>
    <col min="4" max="10" width="9.875" style="2" customWidth="1"/>
    <col min="11" max="13" width="2.875" style="2" customWidth="1"/>
    <col min="14" max="14" width="9.875" style="2" customWidth="1"/>
    <col min="15" max="15" width="1.75" style="2" customWidth="1"/>
    <col min="16" max="16384" width="9" style="2"/>
  </cols>
  <sheetData>
    <row r="1" spans="2:16" ht="9" customHeight="1"/>
    <row r="2" spans="2:16" ht="17.25" customHeight="1">
      <c r="B2" s="1"/>
      <c r="C2" s="1"/>
      <c r="D2" s="1"/>
      <c r="E2" s="1"/>
      <c r="F2" s="1"/>
      <c r="G2" s="1"/>
      <c r="H2" s="1"/>
      <c r="I2" s="1"/>
      <c r="J2" s="139" t="s">
        <v>33</v>
      </c>
      <c r="K2" s="139"/>
      <c r="L2" s="139"/>
      <c r="M2" s="139"/>
      <c r="N2" s="139"/>
      <c r="O2" s="1"/>
    </row>
    <row r="3" spans="2:16" ht="26.25" customHeight="1">
      <c r="B3" s="3" t="s">
        <v>9</v>
      </c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2:16" ht="17.25" customHeight="1">
      <c r="B4" s="6"/>
      <c r="C4" s="7"/>
      <c r="D4" s="7"/>
      <c r="E4" s="7"/>
      <c r="F4" s="8"/>
      <c r="G4" s="8"/>
      <c r="H4" s="8"/>
      <c r="J4" s="9" t="s">
        <v>27</v>
      </c>
      <c r="K4" s="140">
        <v>45566</v>
      </c>
      <c r="L4" s="140"/>
      <c r="M4" s="140"/>
      <c r="N4" s="140"/>
      <c r="O4" s="5"/>
    </row>
    <row r="5" spans="2:16" ht="7.5" customHeight="1">
      <c r="B5" s="10"/>
      <c r="C5" s="10"/>
      <c r="D5" s="10"/>
      <c r="E5" s="10"/>
      <c r="F5" s="10"/>
      <c r="G5" s="11"/>
      <c r="H5" s="11"/>
      <c r="J5" s="12"/>
      <c r="L5" s="11"/>
      <c r="M5" s="11"/>
      <c r="N5" s="11"/>
      <c r="O5" s="13"/>
    </row>
    <row r="6" spans="2:16" ht="17.25" customHeight="1">
      <c r="B6" s="14"/>
      <c r="C6" s="14"/>
      <c r="D6" s="15"/>
      <c r="E6" s="16"/>
      <c r="F6" s="15"/>
      <c r="G6" s="17"/>
      <c r="H6" s="18"/>
      <c r="J6" s="19" t="s">
        <v>28</v>
      </c>
      <c r="K6" s="141" t="s">
        <v>45</v>
      </c>
      <c r="L6" s="141"/>
      <c r="M6" s="141"/>
      <c r="N6" s="141"/>
      <c r="O6" s="15"/>
    </row>
    <row r="7" spans="2:16" ht="9" customHeight="1" thickBot="1">
      <c r="B7" s="12"/>
      <c r="C7" s="12"/>
      <c r="D7" s="12"/>
      <c r="E7" s="20"/>
      <c r="F7" s="20"/>
      <c r="G7" s="20"/>
      <c r="H7" s="21"/>
      <c r="I7" s="11"/>
      <c r="J7" s="17"/>
      <c r="K7" s="17"/>
      <c r="L7" s="17"/>
      <c r="M7" s="17"/>
      <c r="N7" s="22"/>
      <c r="O7" s="15"/>
    </row>
    <row r="8" spans="2:16" ht="17.25" customHeight="1">
      <c r="B8" s="23" t="s">
        <v>23</v>
      </c>
      <c r="C8" s="24"/>
      <c r="D8" s="25"/>
      <c r="E8" s="26" t="s">
        <v>21</v>
      </c>
      <c r="F8" s="26"/>
      <c r="G8" s="27"/>
      <c r="H8" s="28" t="s">
        <v>22</v>
      </c>
      <c r="I8" s="28"/>
      <c r="J8" s="29"/>
      <c r="K8" s="29"/>
      <c r="L8" s="29"/>
      <c r="M8" s="29"/>
      <c r="N8" s="30"/>
      <c r="O8" s="22"/>
      <c r="P8" s="15"/>
    </row>
    <row r="9" spans="2:16" ht="17.25" customHeight="1">
      <c r="B9" s="31" t="s">
        <v>30</v>
      </c>
      <c r="C9" s="133">
        <v>44871</v>
      </c>
      <c r="D9" s="134"/>
      <c r="E9" s="32" t="s">
        <v>34</v>
      </c>
      <c r="F9" s="17"/>
      <c r="G9" s="33"/>
      <c r="H9" s="32" t="s">
        <v>35</v>
      </c>
      <c r="I9" s="17"/>
      <c r="J9" s="34"/>
      <c r="K9" s="34"/>
      <c r="L9" s="34"/>
      <c r="M9" s="34"/>
      <c r="N9" s="35"/>
      <c r="O9" s="17"/>
      <c r="P9" s="15"/>
    </row>
    <row r="10" spans="2:16" ht="17.25" customHeight="1" thickBot="1">
      <c r="B10" s="36" t="s">
        <v>31</v>
      </c>
      <c r="C10" s="135">
        <v>44872</v>
      </c>
      <c r="D10" s="136"/>
      <c r="E10" s="37"/>
      <c r="F10" s="37"/>
      <c r="G10" s="38"/>
      <c r="H10" s="37"/>
      <c r="I10" s="37"/>
      <c r="J10" s="39"/>
      <c r="K10" s="39"/>
      <c r="L10" s="39"/>
      <c r="M10" s="39"/>
      <c r="N10" s="40"/>
      <c r="O10" s="17"/>
      <c r="P10" s="15"/>
    </row>
    <row r="11" spans="2:16" ht="9" customHeight="1">
      <c r="B11" s="41"/>
      <c r="C11" s="41"/>
      <c r="D11" s="12"/>
      <c r="E11" s="17"/>
      <c r="F11" s="17"/>
      <c r="G11" s="17"/>
      <c r="H11" s="17"/>
      <c r="I11" s="34"/>
      <c r="J11" s="17"/>
      <c r="K11" s="17"/>
      <c r="L11" s="17"/>
      <c r="M11" s="17"/>
      <c r="N11" s="17"/>
      <c r="O11" s="15"/>
    </row>
    <row r="12" spans="2:16" ht="9" customHeight="1">
      <c r="B12" s="41"/>
      <c r="C12" s="41"/>
      <c r="D12" s="12"/>
      <c r="E12" s="20"/>
      <c r="F12" s="20"/>
      <c r="G12" s="20"/>
      <c r="H12" s="20"/>
      <c r="I12" s="11"/>
      <c r="J12" s="17"/>
      <c r="K12" s="17"/>
      <c r="L12" s="17"/>
      <c r="M12" s="17"/>
      <c r="N12" s="17"/>
      <c r="O12" s="15"/>
    </row>
    <row r="13" spans="2:16" ht="17.25" customHeight="1" thickBot="1">
      <c r="B13" s="84"/>
      <c r="C13" s="84"/>
      <c r="D13" s="84"/>
      <c r="E13" s="84"/>
      <c r="F13" s="84"/>
      <c r="G13" s="84"/>
      <c r="H13" s="17"/>
      <c r="I13" s="17"/>
      <c r="J13" s="17"/>
      <c r="K13" s="17"/>
      <c r="L13" s="17"/>
      <c r="M13" s="17"/>
      <c r="N13" s="17"/>
      <c r="O13" s="15"/>
    </row>
    <row r="14" spans="2:16" ht="27.75" customHeight="1" thickBot="1">
      <c r="D14" s="128" t="s">
        <v>40</v>
      </c>
      <c r="E14" s="127" t="s">
        <v>17</v>
      </c>
      <c r="F14" s="137" t="s">
        <v>36</v>
      </c>
      <c r="G14" s="138"/>
      <c r="H14" s="85" t="s">
        <v>37</v>
      </c>
      <c r="I14" s="86" t="s">
        <v>20</v>
      </c>
      <c r="J14" s="87">
        <v>8750</v>
      </c>
      <c r="K14" s="88" t="s">
        <v>0</v>
      </c>
      <c r="L14" s="89">
        <v>1</v>
      </c>
      <c r="M14" s="90" t="s">
        <v>16</v>
      </c>
      <c r="N14" s="91">
        <f>J14*L14</f>
        <v>8750</v>
      </c>
      <c r="O14" s="15"/>
    </row>
    <row r="15" spans="2:16" ht="27.75" customHeight="1" thickBot="1">
      <c r="D15" s="128" t="s">
        <v>40</v>
      </c>
      <c r="E15" s="127" t="s">
        <v>17</v>
      </c>
      <c r="F15" s="137"/>
      <c r="G15" s="138"/>
      <c r="H15" s="85"/>
      <c r="I15" s="86" t="s">
        <v>20</v>
      </c>
      <c r="J15" s="87"/>
      <c r="K15" s="88" t="s">
        <v>0</v>
      </c>
      <c r="L15" s="89"/>
      <c r="M15" s="90" t="s">
        <v>16</v>
      </c>
      <c r="N15" s="91">
        <f>J15*L15</f>
        <v>0</v>
      </c>
      <c r="O15" s="15"/>
    </row>
    <row r="16" spans="2:16" ht="27.75" customHeight="1" thickBot="1">
      <c r="D16" s="128" t="s">
        <v>40</v>
      </c>
      <c r="E16" s="127" t="s">
        <v>17</v>
      </c>
      <c r="F16" s="137"/>
      <c r="G16" s="138"/>
      <c r="H16" s="85"/>
      <c r="I16" s="86" t="s">
        <v>20</v>
      </c>
      <c r="J16" s="92"/>
      <c r="K16" s="93" t="s">
        <v>0</v>
      </c>
      <c r="L16" s="94"/>
      <c r="M16" s="95" t="s">
        <v>16</v>
      </c>
      <c r="N16" s="96">
        <f>J16*L16</f>
        <v>0</v>
      </c>
      <c r="O16" s="15"/>
    </row>
    <row r="17" spans="2:15" ht="27.75" customHeight="1" thickBot="1">
      <c r="G17" s="20"/>
      <c r="H17" s="21"/>
      <c r="I17" s="128" t="s">
        <v>41</v>
      </c>
      <c r="J17" s="148" t="s">
        <v>38</v>
      </c>
      <c r="K17" s="149"/>
      <c r="L17" s="149"/>
      <c r="M17" s="149"/>
      <c r="N17" s="97">
        <f>SUMIF($H$14:$H$16,"AMEX",$J$14:$J$16)</f>
        <v>8750</v>
      </c>
      <c r="O17" s="15"/>
    </row>
    <row r="18" spans="2:15" ht="27.75" customHeight="1" thickBot="1">
      <c r="G18" s="20"/>
      <c r="H18" s="21"/>
      <c r="I18" s="128" t="s">
        <v>42</v>
      </c>
      <c r="J18" s="148" t="s">
        <v>39</v>
      </c>
      <c r="K18" s="149"/>
      <c r="L18" s="149"/>
      <c r="M18" s="149"/>
      <c r="N18" s="97">
        <f>SUMIF($H$14:$H$16,"立替",$J$14:$J$16)</f>
        <v>0</v>
      </c>
      <c r="O18" s="15"/>
    </row>
    <row r="19" spans="2:15" ht="17.25" customHeight="1" thickBot="1"/>
    <row r="20" spans="2:15" ht="27.75" customHeight="1" thickBot="1">
      <c r="I20" s="129" t="s">
        <v>43</v>
      </c>
      <c r="J20" s="98">
        <v>3000</v>
      </c>
      <c r="K20" s="88" t="s">
        <v>0</v>
      </c>
      <c r="L20" s="99">
        <v>1</v>
      </c>
      <c r="M20" s="100" t="s">
        <v>1</v>
      </c>
      <c r="N20" s="91">
        <f>L20*J20</f>
        <v>3000</v>
      </c>
    </row>
    <row r="21" spans="2:15" ht="27.75" customHeight="1">
      <c r="B21" s="2" t="s">
        <v>44</v>
      </c>
      <c r="F21" s="150">
        <f>N17+N18+N20</f>
        <v>11750</v>
      </c>
      <c r="G21" s="151"/>
    </row>
    <row r="22" spans="2:15" ht="27.75" customHeight="1" thickBot="1">
      <c r="B22" s="2" t="s">
        <v>32</v>
      </c>
      <c r="E22" s="101"/>
      <c r="F22" s="152">
        <f>N17</f>
        <v>8750</v>
      </c>
      <c r="G22" s="152"/>
      <c r="I22" s="102" t="s">
        <v>25</v>
      </c>
    </row>
    <row r="23" spans="2:15" ht="27.75" customHeight="1" thickBot="1">
      <c r="B23" s="103" t="s">
        <v>24</v>
      </c>
      <c r="C23" s="103"/>
      <c r="D23" s="103"/>
      <c r="E23" s="103"/>
      <c r="F23" s="153">
        <v>0</v>
      </c>
      <c r="G23" s="153"/>
      <c r="I23" s="154">
        <f>F24</f>
        <v>3000</v>
      </c>
      <c r="J23" s="155"/>
      <c r="K23" s="155"/>
      <c r="L23" s="156"/>
    </row>
    <row r="24" spans="2:15" ht="27.75" customHeight="1" thickTop="1" thickBot="1">
      <c r="B24" s="142" t="s">
        <v>26</v>
      </c>
      <c r="C24" s="142"/>
      <c r="D24" s="142"/>
      <c r="E24" s="84"/>
      <c r="F24" s="143">
        <f>F21-F22-F23</f>
        <v>3000</v>
      </c>
      <c r="G24" s="144"/>
      <c r="H24" s="17"/>
      <c r="I24" s="157"/>
      <c r="J24" s="158"/>
      <c r="K24" s="158"/>
      <c r="L24" s="159"/>
      <c r="N24" s="17"/>
      <c r="O24" s="15"/>
    </row>
    <row r="25" spans="2:15" ht="15" customHeight="1">
      <c r="D25" s="12"/>
      <c r="E25" s="17"/>
      <c r="F25" s="17"/>
      <c r="G25" s="17"/>
      <c r="H25" s="18"/>
      <c r="I25" s="11"/>
      <c r="N25" s="22"/>
      <c r="O25" s="15"/>
    </row>
    <row r="26" spans="2:15" ht="15" customHeight="1" thickBot="1">
      <c r="B26" s="12"/>
      <c r="C26" s="12"/>
      <c r="D26" s="12"/>
      <c r="E26" s="104"/>
      <c r="F26" s="20"/>
      <c r="G26" s="20"/>
      <c r="H26" s="21"/>
      <c r="I26" s="11"/>
      <c r="N26" s="22"/>
      <c r="O26" s="15"/>
    </row>
    <row r="27" spans="2:15" ht="17.25" customHeight="1" thickBot="1">
      <c r="B27" s="101"/>
      <c r="C27" s="101"/>
      <c r="D27" s="101"/>
      <c r="E27" s="101"/>
      <c r="F27" s="101"/>
      <c r="G27" s="101"/>
      <c r="H27" s="101"/>
      <c r="I27" s="101"/>
      <c r="K27" s="145" t="s">
        <v>2</v>
      </c>
      <c r="L27" s="146"/>
      <c r="M27" s="147"/>
      <c r="N27" s="105" t="s">
        <v>3</v>
      </c>
      <c r="O27" s="1"/>
    </row>
    <row r="28" spans="2:15" ht="17.25" customHeight="1">
      <c r="K28" s="106"/>
      <c r="L28" s="107"/>
      <c r="M28" s="108"/>
      <c r="N28" s="109"/>
    </row>
    <row r="29" spans="2:15" ht="17.25" customHeight="1" thickBot="1">
      <c r="B29" s="110" t="s">
        <v>29</v>
      </c>
      <c r="C29" s="111"/>
      <c r="D29" s="112"/>
      <c r="E29" s="112"/>
      <c r="F29" s="20"/>
      <c r="K29" s="113"/>
      <c r="M29" s="114"/>
      <c r="N29" s="61"/>
    </row>
    <row r="30" spans="2:15" ht="17.25" customHeight="1" thickBot="1">
      <c r="K30" s="115"/>
      <c r="L30" s="112"/>
      <c r="M30" s="116"/>
      <c r="N30" s="117"/>
    </row>
    <row r="31" spans="2:15" ht="9" customHeight="1"/>
    <row r="32" spans="2:15">
      <c r="J32" s="17"/>
      <c r="K32" s="17"/>
      <c r="L32" s="17"/>
      <c r="M32" s="17"/>
    </row>
  </sheetData>
  <mergeCells count="17">
    <mergeCell ref="B24:D24"/>
    <mergeCell ref="F24:G24"/>
    <mergeCell ref="K27:M27"/>
    <mergeCell ref="F16:G16"/>
    <mergeCell ref="J17:M17"/>
    <mergeCell ref="J18:M18"/>
    <mergeCell ref="F21:G21"/>
    <mergeCell ref="F22:G22"/>
    <mergeCell ref="F23:G23"/>
    <mergeCell ref="I23:L24"/>
    <mergeCell ref="C9:D9"/>
    <mergeCell ref="C10:D10"/>
    <mergeCell ref="F15:G15"/>
    <mergeCell ref="F14:G14"/>
    <mergeCell ref="J2:N2"/>
    <mergeCell ref="K4:N4"/>
    <mergeCell ref="K6:N6"/>
  </mergeCells>
  <phoneticPr fontId="1"/>
  <dataValidations count="1">
    <dataValidation type="list" showInputMessage="1" showErrorMessage="1" sqref="H14:H16" xr:uid="{BD955E1C-806F-4F19-B564-D2ABE0BC5DF7}">
      <formula1>"AMEX,立替"</formula1>
    </dataValidation>
  </dataValidations>
  <printOptions horizontalCentered="1"/>
  <pageMargins left="0.25" right="0.25" top="0.75" bottom="0.75" header="0.3" footer="0.3"/>
  <pageSetup paperSize="9" scale="9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81E4-DA38-4068-B8F4-3223464AFB04}">
  <dimension ref="A1:P48"/>
  <sheetViews>
    <sheetView showGridLines="0" view="pageBreakPreview" zoomScaleNormal="75" zoomScaleSheetLayoutView="100" workbookViewId="0">
      <selection activeCell="I36" sqref="I36"/>
    </sheetView>
  </sheetViews>
  <sheetFormatPr defaultColWidth="9" defaultRowHeight="18.75"/>
  <cols>
    <col min="1" max="1" width="1.75" style="2" customWidth="1"/>
    <col min="2" max="3" width="8.5" style="2" customWidth="1"/>
    <col min="4" max="10" width="9.875" style="2" customWidth="1"/>
    <col min="11" max="13" width="2.875" style="2" customWidth="1"/>
    <col min="14" max="14" width="9.875" style="2" customWidth="1"/>
    <col min="15" max="15" width="1.75" style="2" customWidth="1"/>
    <col min="16" max="16384" width="9" style="2"/>
  </cols>
  <sheetData>
    <row r="1" spans="2:16" ht="9" customHeight="1"/>
    <row r="2" spans="2:16" ht="17.25" customHeight="1">
      <c r="B2" s="1"/>
      <c r="C2" s="1"/>
      <c r="D2" s="1"/>
      <c r="E2" s="1"/>
      <c r="F2" s="1"/>
      <c r="G2" s="1"/>
      <c r="H2" s="1"/>
      <c r="I2" s="1"/>
      <c r="J2" s="139" t="s">
        <v>33</v>
      </c>
      <c r="K2" s="139"/>
      <c r="L2" s="139"/>
      <c r="M2" s="139"/>
      <c r="N2" s="139"/>
      <c r="O2" s="1"/>
    </row>
    <row r="3" spans="2:16" ht="26.25" customHeight="1">
      <c r="B3" s="3" t="s">
        <v>9</v>
      </c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2:16" ht="17.25" customHeight="1">
      <c r="B4" s="6"/>
      <c r="C4" s="7"/>
      <c r="D4" s="7"/>
      <c r="E4" s="7"/>
      <c r="F4" s="8"/>
      <c r="G4" s="8"/>
      <c r="H4" s="8"/>
      <c r="J4" s="9" t="s">
        <v>27</v>
      </c>
      <c r="K4" s="140"/>
      <c r="L4" s="140"/>
      <c r="M4" s="140"/>
      <c r="N4" s="140"/>
      <c r="O4" s="5"/>
    </row>
    <row r="5" spans="2:16" ht="7.5" customHeight="1">
      <c r="B5" s="10"/>
      <c r="C5" s="10"/>
      <c r="D5" s="10"/>
      <c r="E5" s="10"/>
      <c r="F5" s="10"/>
      <c r="G5" s="11"/>
      <c r="H5" s="11"/>
      <c r="J5" s="12"/>
      <c r="L5" s="11"/>
      <c r="M5" s="11"/>
      <c r="N5" s="11"/>
      <c r="O5" s="13"/>
    </row>
    <row r="6" spans="2:16" ht="17.25" customHeight="1">
      <c r="B6" s="14"/>
      <c r="C6" s="14"/>
      <c r="D6" s="15"/>
      <c r="E6" s="16"/>
      <c r="F6" s="15"/>
      <c r="G6" s="17"/>
      <c r="H6" s="18"/>
      <c r="J6" s="19" t="s">
        <v>28</v>
      </c>
      <c r="K6" s="141"/>
      <c r="L6" s="141"/>
      <c r="M6" s="141"/>
      <c r="N6" s="141"/>
      <c r="O6" s="15"/>
    </row>
    <row r="7" spans="2:16" ht="9" customHeight="1" thickBot="1">
      <c r="B7" s="12"/>
      <c r="C7" s="12"/>
      <c r="D7" s="12"/>
      <c r="E7" s="20"/>
      <c r="F7" s="20"/>
      <c r="G7" s="20"/>
      <c r="H7" s="21"/>
      <c r="I7" s="11"/>
      <c r="J7" s="17"/>
      <c r="K7" s="17"/>
      <c r="L7" s="17"/>
      <c r="M7" s="17"/>
      <c r="N7" s="22"/>
      <c r="O7" s="15"/>
    </row>
    <row r="8" spans="2:16" ht="17.25" customHeight="1">
      <c r="B8" s="23" t="s">
        <v>23</v>
      </c>
      <c r="C8" s="24"/>
      <c r="D8" s="25"/>
      <c r="E8" s="26" t="s">
        <v>21</v>
      </c>
      <c r="F8" s="26"/>
      <c r="G8" s="27"/>
      <c r="H8" s="28" t="s">
        <v>22</v>
      </c>
      <c r="I8" s="28"/>
      <c r="J8" s="29"/>
      <c r="K8" s="29"/>
      <c r="L8" s="29"/>
      <c r="M8" s="29"/>
      <c r="N8" s="30"/>
      <c r="O8" s="22"/>
      <c r="P8" s="15"/>
    </row>
    <row r="9" spans="2:16" ht="17.25" customHeight="1">
      <c r="B9" s="31" t="s">
        <v>30</v>
      </c>
      <c r="C9" s="133"/>
      <c r="D9" s="134"/>
      <c r="E9" s="32"/>
      <c r="F9" s="17"/>
      <c r="G9" s="33"/>
      <c r="H9" s="32"/>
      <c r="I9" s="17"/>
      <c r="J9" s="34"/>
      <c r="K9" s="34"/>
      <c r="L9" s="34"/>
      <c r="M9" s="34"/>
      <c r="N9" s="35"/>
      <c r="O9" s="17"/>
      <c r="P9" s="15"/>
    </row>
    <row r="10" spans="2:16" ht="17.25" customHeight="1" thickBot="1">
      <c r="B10" s="36" t="s">
        <v>31</v>
      </c>
      <c r="C10" s="135"/>
      <c r="D10" s="136"/>
      <c r="E10" s="37"/>
      <c r="F10" s="37"/>
      <c r="G10" s="38"/>
      <c r="H10" s="37"/>
      <c r="I10" s="37"/>
      <c r="J10" s="39"/>
      <c r="K10" s="39"/>
      <c r="L10" s="39"/>
      <c r="M10" s="39"/>
      <c r="N10" s="40"/>
      <c r="O10" s="17"/>
      <c r="P10" s="15"/>
    </row>
    <row r="11" spans="2:16" ht="9" customHeight="1">
      <c r="B11" s="41"/>
      <c r="C11" s="41"/>
      <c r="D11" s="12"/>
      <c r="E11" s="17"/>
      <c r="F11" s="17"/>
      <c r="G11" s="17"/>
      <c r="H11" s="17"/>
      <c r="I11" s="34"/>
      <c r="J11" s="17"/>
      <c r="K11" s="17"/>
      <c r="L11" s="17"/>
      <c r="M11" s="17"/>
      <c r="N11" s="17"/>
      <c r="O11" s="15"/>
    </row>
    <row r="12" spans="2:16" ht="17.25" hidden="1" customHeight="1">
      <c r="B12" s="160" t="s">
        <v>10</v>
      </c>
      <c r="C12" s="161"/>
      <c r="D12" s="164" t="s">
        <v>11</v>
      </c>
      <c r="E12" s="164" t="s">
        <v>12</v>
      </c>
      <c r="F12" s="166" t="s">
        <v>4</v>
      </c>
      <c r="G12" s="167"/>
      <c r="H12" s="42" t="s">
        <v>15</v>
      </c>
      <c r="I12" s="43"/>
      <c r="J12" s="44" t="s">
        <v>8</v>
      </c>
      <c r="K12" s="44"/>
      <c r="L12" s="44"/>
      <c r="M12" s="44"/>
      <c r="N12" s="45"/>
      <c r="O12" s="15"/>
    </row>
    <row r="13" spans="2:16" ht="17.25" hidden="1" customHeight="1" thickBot="1">
      <c r="B13" s="162"/>
      <c r="C13" s="163"/>
      <c r="D13" s="165"/>
      <c r="E13" s="165"/>
      <c r="F13" s="168"/>
      <c r="G13" s="169"/>
      <c r="H13" s="46" t="s">
        <v>13</v>
      </c>
      <c r="I13" s="47" t="s">
        <v>14</v>
      </c>
      <c r="J13" s="48" t="s">
        <v>5</v>
      </c>
      <c r="K13" s="170" t="s">
        <v>6</v>
      </c>
      <c r="L13" s="171"/>
      <c r="M13" s="172"/>
      <c r="N13" s="49" t="s">
        <v>7</v>
      </c>
      <c r="O13" s="15"/>
    </row>
    <row r="14" spans="2:16" ht="17.25" hidden="1" customHeight="1">
      <c r="B14" s="173"/>
      <c r="C14" s="174"/>
      <c r="D14" s="50"/>
      <c r="E14" s="51"/>
      <c r="F14" s="52"/>
      <c r="G14" s="53"/>
      <c r="H14" s="54"/>
      <c r="I14" s="55"/>
      <c r="J14" s="118"/>
      <c r="K14" s="175"/>
      <c r="L14" s="176"/>
      <c r="M14" s="177"/>
      <c r="N14" s="119"/>
      <c r="O14" s="15"/>
    </row>
    <row r="15" spans="2:16" ht="17.25" hidden="1" customHeight="1">
      <c r="B15" s="178"/>
      <c r="C15" s="179"/>
      <c r="D15" s="50"/>
      <c r="E15" s="56"/>
      <c r="F15" s="57"/>
      <c r="G15" s="58"/>
      <c r="H15" s="59"/>
      <c r="I15" s="60"/>
      <c r="J15" s="118"/>
      <c r="K15" s="180"/>
      <c r="L15" s="181"/>
      <c r="M15" s="182"/>
      <c r="N15" s="121"/>
      <c r="O15" s="15"/>
    </row>
    <row r="16" spans="2:16" ht="17.25" hidden="1" customHeight="1">
      <c r="B16" s="178"/>
      <c r="C16" s="179"/>
      <c r="D16" s="50"/>
      <c r="E16" s="56"/>
      <c r="F16" s="57"/>
      <c r="G16" s="58"/>
      <c r="H16" s="59"/>
      <c r="I16" s="60"/>
      <c r="J16" s="118"/>
      <c r="K16" s="183"/>
      <c r="L16" s="184"/>
      <c r="M16" s="185"/>
      <c r="N16" s="124"/>
      <c r="O16" s="15"/>
    </row>
    <row r="17" spans="1:15" ht="17.25" hidden="1" customHeight="1">
      <c r="B17" s="186"/>
      <c r="C17" s="187"/>
      <c r="D17" s="50"/>
      <c r="E17" s="56"/>
      <c r="F17" s="57"/>
      <c r="G17" s="58"/>
      <c r="H17" s="59"/>
      <c r="I17" s="60"/>
      <c r="J17" s="118"/>
      <c r="K17" s="180"/>
      <c r="L17" s="181"/>
      <c r="M17" s="182"/>
      <c r="N17" s="121"/>
      <c r="O17" s="15"/>
    </row>
    <row r="18" spans="1:15" ht="17.25" hidden="1" customHeight="1">
      <c r="B18" s="186"/>
      <c r="C18" s="187"/>
      <c r="D18" s="50"/>
      <c r="E18" s="56"/>
      <c r="F18" s="57"/>
      <c r="G18" s="58"/>
      <c r="H18" s="59"/>
      <c r="I18" s="60"/>
      <c r="J18" s="122"/>
      <c r="K18" s="183"/>
      <c r="L18" s="184"/>
      <c r="M18" s="185"/>
      <c r="N18" s="66"/>
      <c r="O18" s="15"/>
    </row>
    <row r="19" spans="1:15" ht="17.25" hidden="1" customHeight="1">
      <c r="B19" s="186"/>
      <c r="C19" s="187"/>
      <c r="D19" s="50"/>
      <c r="E19" s="56"/>
      <c r="F19" s="57"/>
      <c r="G19" s="58"/>
      <c r="H19" s="59"/>
      <c r="I19" s="60"/>
      <c r="J19" s="120"/>
      <c r="K19" s="180"/>
      <c r="L19" s="181"/>
      <c r="M19" s="182"/>
      <c r="N19" s="121"/>
      <c r="O19" s="15"/>
    </row>
    <row r="20" spans="1:15" ht="17.25" hidden="1" customHeight="1">
      <c r="B20" s="186"/>
      <c r="C20" s="187"/>
      <c r="D20" s="50"/>
      <c r="E20" s="56"/>
      <c r="F20" s="57"/>
      <c r="G20" s="58"/>
      <c r="H20" s="59"/>
      <c r="I20" s="60"/>
      <c r="J20" s="122"/>
      <c r="K20" s="183"/>
      <c r="L20" s="184"/>
      <c r="M20" s="185"/>
      <c r="N20" s="66"/>
      <c r="O20" s="15"/>
    </row>
    <row r="21" spans="1:15" ht="17.25" hidden="1" customHeight="1">
      <c r="B21" s="186"/>
      <c r="C21" s="187"/>
      <c r="D21" s="50"/>
      <c r="E21" s="56"/>
      <c r="F21" s="57"/>
      <c r="G21" s="58"/>
      <c r="H21" s="59"/>
      <c r="I21" s="60"/>
      <c r="J21" s="120"/>
      <c r="K21" s="180"/>
      <c r="L21" s="181"/>
      <c r="M21" s="182"/>
      <c r="N21" s="121"/>
      <c r="O21" s="15"/>
    </row>
    <row r="22" spans="1:15" ht="17.25" hidden="1" customHeight="1">
      <c r="A22" s="61"/>
      <c r="B22" s="186"/>
      <c r="C22" s="187"/>
      <c r="D22" s="62"/>
      <c r="E22" s="57"/>
      <c r="F22" s="57"/>
      <c r="G22" s="58"/>
      <c r="H22" s="59"/>
      <c r="I22" s="60"/>
      <c r="J22" s="122"/>
      <c r="K22" s="183"/>
      <c r="L22" s="184"/>
      <c r="M22" s="185"/>
      <c r="N22" s="125"/>
      <c r="O22" s="15"/>
    </row>
    <row r="23" spans="1:15" ht="17.25" hidden="1" customHeight="1">
      <c r="A23" s="61"/>
      <c r="B23" s="186"/>
      <c r="C23" s="187"/>
      <c r="D23" s="62"/>
      <c r="E23" s="57"/>
      <c r="F23" s="57"/>
      <c r="G23" s="58"/>
      <c r="H23" s="59"/>
      <c r="I23" s="63"/>
      <c r="J23" s="123"/>
      <c r="K23" s="183"/>
      <c r="L23" s="184"/>
      <c r="M23" s="185"/>
      <c r="N23" s="125"/>
      <c r="O23" s="15"/>
    </row>
    <row r="24" spans="1:15" ht="17.25" hidden="1" customHeight="1">
      <c r="A24" s="61"/>
      <c r="B24" s="186"/>
      <c r="C24" s="187"/>
      <c r="D24" s="62"/>
      <c r="E24" s="57"/>
      <c r="F24" s="57"/>
      <c r="G24" s="58"/>
      <c r="H24" s="59"/>
      <c r="I24" s="60"/>
      <c r="J24" s="122"/>
      <c r="K24" s="183"/>
      <c r="L24" s="184"/>
      <c r="M24" s="185"/>
      <c r="N24" s="64"/>
      <c r="O24" s="65"/>
    </row>
    <row r="25" spans="1:15" ht="17.25" hidden="1" customHeight="1">
      <c r="B25" s="186"/>
      <c r="C25" s="187"/>
      <c r="D25" s="62"/>
      <c r="E25" s="57"/>
      <c r="F25" s="57"/>
      <c r="G25" s="58"/>
      <c r="H25" s="59"/>
      <c r="I25" s="60"/>
      <c r="J25" s="122"/>
      <c r="K25" s="183"/>
      <c r="L25" s="184"/>
      <c r="M25" s="185"/>
      <c r="N25" s="66"/>
      <c r="O25" s="15"/>
    </row>
    <row r="26" spans="1:15" ht="17.25" hidden="1" customHeight="1" thickBot="1">
      <c r="B26" s="188"/>
      <c r="C26" s="189"/>
      <c r="D26" s="67"/>
      <c r="E26" s="68"/>
      <c r="F26" s="68"/>
      <c r="G26" s="69"/>
      <c r="H26" s="70"/>
      <c r="I26" s="71"/>
      <c r="J26" s="126"/>
      <c r="K26" s="190"/>
      <c r="L26" s="191"/>
      <c r="M26" s="192"/>
      <c r="N26" s="72"/>
      <c r="O26" s="15"/>
    </row>
    <row r="27" spans="1:15" ht="22.5" hidden="1" customHeight="1" thickBot="1">
      <c r="B27" s="73" t="s">
        <v>18</v>
      </c>
      <c r="C27" s="74"/>
      <c r="D27" s="75"/>
      <c r="E27" s="74"/>
      <c r="F27" s="75"/>
      <c r="G27" s="75"/>
      <c r="H27" s="76"/>
      <c r="I27" s="77">
        <f>SUM(I14:I26)</f>
        <v>0</v>
      </c>
      <c r="J27" s="78"/>
      <c r="K27" s="193"/>
      <c r="L27" s="194"/>
      <c r="M27" s="195"/>
      <c r="N27" s="79"/>
      <c r="O27" s="15"/>
    </row>
    <row r="28" spans="1:15" ht="22.5" hidden="1" customHeight="1" thickBot="1">
      <c r="B28" s="73" t="s">
        <v>19</v>
      </c>
      <c r="C28" s="74"/>
      <c r="D28" s="75"/>
      <c r="E28" s="74"/>
      <c r="F28" s="75"/>
      <c r="G28" s="75"/>
      <c r="H28" s="80"/>
      <c r="I28" s="81">
        <f>SUM(J28:N28)</f>
        <v>0</v>
      </c>
      <c r="J28" s="82">
        <f>SUM(J14:J26)</f>
        <v>0</v>
      </c>
      <c r="K28" s="196">
        <f>SUM(K14:M26)</f>
        <v>0</v>
      </c>
      <c r="L28" s="197"/>
      <c r="M28" s="198"/>
      <c r="N28" s="83">
        <f>SUM(N14:N26)</f>
        <v>0</v>
      </c>
      <c r="O28" s="15"/>
    </row>
    <row r="29" spans="1:15" ht="17.25" customHeight="1" thickBot="1">
      <c r="B29" s="84"/>
      <c r="C29" s="84"/>
      <c r="D29" s="84"/>
      <c r="E29" s="84"/>
      <c r="F29" s="84"/>
      <c r="G29" s="84"/>
      <c r="H29" s="17"/>
      <c r="I29" s="17"/>
      <c r="J29" s="17"/>
      <c r="K29" s="17"/>
      <c r="L29" s="17"/>
      <c r="M29" s="17"/>
      <c r="N29" s="17"/>
      <c r="O29" s="15"/>
    </row>
    <row r="30" spans="1:15" ht="27.75" customHeight="1" thickBot="1">
      <c r="D30" s="128" t="s">
        <v>41</v>
      </c>
      <c r="E30" s="127" t="s">
        <v>17</v>
      </c>
      <c r="F30" s="137"/>
      <c r="G30" s="138"/>
      <c r="H30" s="85"/>
      <c r="I30" s="86" t="s">
        <v>20</v>
      </c>
      <c r="J30" s="87"/>
      <c r="K30" s="88" t="s">
        <v>0</v>
      </c>
      <c r="L30" s="89"/>
      <c r="M30" s="90" t="s">
        <v>16</v>
      </c>
      <c r="N30" s="91">
        <f>J30*L30</f>
        <v>0</v>
      </c>
      <c r="O30" s="15"/>
    </row>
    <row r="31" spans="1:15" ht="27.75" customHeight="1" thickBot="1">
      <c r="D31" s="128" t="s">
        <v>41</v>
      </c>
      <c r="E31" s="127" t="s">
        <v>17</v>
      </c>
      <c r="F31" s="137"/>
      <c r="G31" s="138"/>
      <c r="H31" s="85"/>
      <c r="I31" s="86" t="s">
        <v>20</v>
      </c>
      <c r="J31" s="87"/>
      <c r="K31" s="88" t="s">
        <v>0</v>
      </c>
      <c r="L31" s="89"/>
      <c r="M31" s="90" t="s">
        <v>16</v>
      </c>
      <c r="N31" s="91">
        <f>J31*L31</f>
        <v>0</v>
      </c>
      <c r="O31" s="15"/>
    </row>
    <row r="32" spans="1:15" ht="27.75" customHeight="1" thickBot="1">
      <c r="D32" s="128" t="s">
        <v>41</v>
      </c>
      <c r="E32" s="127" t="s">
        <v>17</v>
      </c>
      <c r="F32" s="137"/>
      <c r="G32" s="138"/>
      <c r="H32" s="85"/>
      <c r="I32" s="86" t="s">
        <v>20</v>
      </c>
      <c r="J32" s="92"/>
      <c r="K32" s="93" t="s">
        <v>0</v>
      </c>
      <c r="L32" s="94"/>
      <c r="M32" s="95" t="s">
        <v>16</v>
      </c>
      <c r="N32" s="96">
        <f>J32*L32</f>
        <v>0</v>
      </c>
      <c r="O32" s="15"/>
    </row>
    <row r="33" spans="2:15" ht="27.75" customHeight="1" thickBot="1">
      <c r="G33" s="20"/>
      <c r="H33" s="21"/>
      <c r="I33" s="128" t="s">
        <v>41</v>
      </c>
      <c r="J33" s="148" t="s">
        <v>38</v>
      </c>
      <c r="K33" s="149"/>
      <c r="L33" s="149"/>
      <c r="M33" s="149"/>
      <c r="N33" s="97">
        <f>SUMIF($H$30:$H$32,"AMEX",$N$30:$N$32)</f>
        <v>0</v>
      </c>
      <c r="O33" s="15"/>
    </row>
    <row r="34" spans="2:15" ht="27.75" customHeight="1" thickBot="1">
      <c r="G34" s="20"/>
      <c r="H34" s="21"/>
      <c r="I34" s="128" t="s">
        <v>41</v>
      </c>
      <c r="J34" s="148" t="s">
        <v>39</v>
      </c>
      <c r="K34" s="149"/>
      <c r="L34" s="149"/>
      <c r="M34" s="149"/>
      <c r="N34" s="97">
        <f>SUMIF($H$30:$H$32,"立替",$N$30:$N$32)</f>
        <v>0</v>
      </c>
      <c r="O34" s="15"/>
    </row>
    <row r="35" spans="2:15" ht="17.25" customHeight="1" thickBot="1"/>
    <row r="36" spans="2:15" ht="27.75" customHeight="1" thickBot="1">
      <c r="I36" s="129" t="s">
        <v>46</v>
      </c>
      <c r="J36" s="98">
        <v>3000</v>
      </c>
      <c r="K36" s="88" t="s">
        <v>0</v>
      </c>
      <c r="L36" s="99"/>
      <c r="M36" s="100" t="s">
        <v>1</v>
      </c>
      <c r="N36" s="91">
        <f>L36*J36</f>
        <v>0</v>
      </c>
    </row>
    <row r="37" spans="2:15" ht="27.75" customHeight="1">
      <c r="B37" s="2" t="s">
        <v>47</v>
      </c>
      <c r="F37" s="150">
        <f>N33+N34+N36</f>
        <v>0</v>
      </c>
      <c r="G37" s="151"/>
    </row>
    <row r="38" spans="2:15" ht="27.75" customHeight="1" thickBot="1">
      <c r="B38" s="2" t="s">
        <v>32</v>
      </c>
      <c r="E38" s="101"/>
      <c r="F38" s="152">
        <f>N33</f>
        <v>0</v>
      </c>
      <c r="G38" s="152"/>
      <c r="I38" s="102" t="s">
        <v>25</v>
      </c>
    </row>
    <row r="39" spans="2:15" ht="27.75" customHeight="1" thickBot="1">
      <c r="B39" s="103" t="s">
        <v>24</v>
      </c>
      <c r="C39" s="103"/>
      <c r="D39" s="103"/>
      <c r="E39" s="103"/>
      <c r="F39" s="153">
        <v>0</v>
      </c>
      <c r="G39" s="153"/>
      <c r="I39" s="154">
        <f>F40</f>
        <v>0</v>
      </c>
      <c r="J39" s="155"/>
      <c r="K39" s="155"/>
      <c r="L39" s="156"/>
    </row>
    <row r="40" spans="2:15" ht="27.75" customHeight="1" thickTop="1" thickBot="1">
      <c r="B40" s="142" t="s">
        <v>26</v>
      </c>
      <c r="C40" s="142"/>
      <c r="D40" s="142"/>
      <c r="E40" s="84"/>
      <c r="F40" s="143">
        <f>F37-F38-F39</f>
        <v>0</v>
      </c>
      <c r="G40" s="144"/>
      <c r="H40" s="17"/>
      <c r="I40" s="157"/>
      <c r="J40" s="158"/>
      <c r="K40" s="158"/>
      <c r="L40" s="159"/>
      <c r="N40" s="17"/>
      <c r="O40" s="15"/>
    </row>
    <row r="41" spans="2:15" ht="15" customHeight="1">
      <c r="D41" s="12"/>
      <c r="E41" s="17"/>
      <c r="F41" s="17"/>
      <c r="G41" s="17"/>
      <c r="H41" s="18"/>
      <c r="I41" s="11"/>
      <c r="N41" s="22"/>
      <c r="O41" s="15"/>
    </row>
    <row r="42" spans="2:15" ht="15" customHeight="1">
      <c r="B42" s="12"/>
      <c r="C42" s="12"/>
      <c r="D42" s="12"/>
      <c r="E42" s="104"/>
      <c r="F42" s="20"/>
      <c r="G42" s="20"/>
      <c r="H42" s="21"/>
      <c r="I42" s="11"/>
      <c r="N42" s="22"/>
      <c r="O42" s="15"/>
    </row>
    <row r="43" spans="2:15" ht="17.25" customHeight="1">
      <c r="B43" s="101"/>
      <c r="C43" s="101"/>
      <c r="D43" s="101"/>
      <c r="E43" s="101"/>
      <c r="F43" s="101"/>
      <c r="G43" s="101"/>
      <c r="H43" s="101"/>
      <c r="I43" s="101"/>
      <c r="K43" s="199"/>
      <c r="L43" s="199"/>
      <c r="M43" s="199"/>
      <c r="N43" s="132"/>
      <c r="O43" s="1"/>
    </row>
    <row r="44" spans="2:15" ht="17.25" customHeight="1"/>
    <row r="45" spans="2:15" ht="17.25" customHeight="1">
      <c r="B45" s="130"/>
      <c r="C45" s="131"/>
      <c r="F45" s="20"/>
    </row>
    <row r="46" spans="2:15" ht="17.25" customHeight="1"/>
    <row r="47" spans="2:15" ht="9" customHeight="1"/>
    <row r="48" spans="2:15">
      <c r="J48" s="17"/>
      <c r="K48" s="17"/>
      <c r="L48" s="17"/>
      <c r="M48" s="17"/>
    </row>
  </sheetData>
  <mergeCells count="50">
    <mergeCell ref="B40:D40"/>
    <mergeCell ref="F40:G40"/>
    <mergeCell ref="K43:M43"/>
    <mergeCell ref="F32:G32"/>
    <mergeCell ref="J33:M33"/>
    <mergeCell ref="J34:M34"/>
    <mergeCell ref="F37:G37"/>
    <mergeCell ref="F38:G38"/>
    <mergeCell ref="F39:G39"/>
    <mergeCell ref="I39:L40"/>
    <mergeCell ref="F31:G31"/>
    <mergeCell ref="B23:C23"/>
    <mergeCell ref="K23:M23"/>
    <mergeCell ref="B24:C24"/>
    <mergeCell ref="K24:M24"/>
    <mergeCell ref="B25:C25"/>
    <mergeCell ref="K25:M25"/>
    <mergeCell ref="B26:C26"/>
    <mergeCell ref="K26:M26"/>
    <mergeCell ref="K27:M27"/>
    <mergeCell ref="K28:M28"/>
    <mergeCell ref="F30:G30"/>
    <mergeCell ref="B20:C20"/>
    <mergeCell ref="K20:M20"/>
    <mergeCell ref="B21:C21"/>
    <mergeCell ref="K21:M21"/>
    <mergeCell ref="B22:C22"/>
    <mergeCell ref="K22:M22"/>
    <mergeCell ref="B17:C17"/>
    <mergeCell ref="K17:M17"/>
    <mergeCell ref="B18:C18"/>
    <mergeCell ref="K18:M18"/>
    <mergeCell ref="B19:C19"/>
    <mergeCell ref="K19:M19"/>
    <mergeCell ref="B14:C14"/>
    <mergeCell ref="K14:M14"/>
    <mergeCell ref="B15:C15"/>
    <mergeCell ref="K15:M15"/>
    <mergeCell ref="B16:C16"/>
    <mergeCell ref="K16:M16"/>
    <mergeCell ref="J2:N2"/>
    <mergeCell ref="K4:N4"/>
    <mergeCell ref="K6:N6"/>
    <mergeCell ref="C9:D9"/>
    <mergeCell ref="C10:D10"/>
    <mergeCell ref="B12:C13"/>
    <mergeCell ref="D12:D13"/>
    <mergeCell ref="E12:E13"/>
    <mergeCell ref="F12:G13"/>
    <mergeCell ref="K13:M13"/>
  </mergeCells>
  <phoneticPr fontId="1"/>
  <dataValidations count="1">
    <dataValidation type="list" showInputMessage="1" showErrorMessage="1" sqref="H30:H32" xr:uid="{F1589A89-0C15-4783-AE67-1B147CC35FA8}">
      <formula1>"AMEX,立替"</formula1>
    </dataValidation>
  </dataValidations>
  <printOptions horizontalCentered="1"/>
  <pageMargins left="0.25" right="0.25" top="0.75" bottom="0.75" header="0.3" footer="0.3"/>
  <pageSetup paperSize="9" scale="9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C3E2-C591-4566-903B-8E8942D12D83}">
  <dimension ref="B1:P29"/>
  <sheetViews>
    <sheetView showGridLines="0" tabSelected="1" view="pageBreakPreview" zoomScaleNormal="75" zoomScaleSheetLayoutView="100" workbookViewId="0">
      <selection activeCell="I28" sqref="I28"/>
    </sheetView>
  </sheetViews>
  <sheetFormatPr defaultColWidth="9" defaultRowHeight="18.75"/>
  <cols>
    <col min="1" max="1" width="1.75" style="2" customWidth="1"/>
    <col min="2" max="3" width="8.5" style="2" customWidth="1"/>
    <col min="4" max="10" width="9.875" style="2" customWidth="1"/>
    <col min="11" max="13" width="2.875" style="2" customWidth="1"/>
    <col min="14" max="14" width="9.875" style="2" customWidth="1"/>
    <col min="15" max="15" width="1.75" style="2" customWidth="1"/>
    <col min="16" max="16384" width="9" style="2"/>
  </cols>
  <sheetData>
    <row r="1" spans="2:16" ht="9" customHeight="1"/>
    <row r="2" spans="2:16" ht="17.25" customHeight="1">
      <c r="B2" s="1"/>
      <c r="C2" s="1"/>
      <c r="D2" s="1"/>
      <c r="E2" s="1"/>
      <c r="F2" s="1"/>
      <c r="G2" s="1"/>
      <c r="H2" s="1"/>
      <c r="I2" s="1"/>
      <c r="J2" s="139" t="s">
        <v>33</v>
      </c>
      <c r="K2" s="139"/>
      <c r="L2" s="139"/>
      <c r="M2" s="139"/>
      <c r="N2" s="139"/>
      <c r="O2" s="1"/>
    </row>
    <row r="3" spans="2:16" ht="26.25" customHeight="1">
      <c r="B3" s="3" t="s">
        <v>9</v>
      </c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2:16" ht="17.25" customHeight="1">
      <c r="B4" s="6"/>
      <c r="C4" s="7"/>
      <c r="D4" s="7"/>
      <c r="E4" s="7"/>
      <c r="F4" s="8"/>
      <c r="G4" s="8"/>
      <c r="H4" s="8"/>
      <c r="J4" s="9" t="s">
        <v>27</v>
      </c>
      <c r="K4" s="140"/>
      <c r="L4" s="140"/>
      <c r="M4" s="140"/>
      <c r="N4" s="140"/>
      <c r="O4" s="5"/>
    </row>
    <row r="5" spans="2:16" ht="7.5" customHeight="1">
      <c r="B5" s="10"/>
      <c r="C5" s="10"/>
      <c r="D5" s="10"/>
      <c r="E5" s="10"/>
      <c r="F5" s="10"/>
      <c r="G5" s="11"/>
      <c r="H5" s="11"/>
      <c r="J5" s="12"/>
      <c r="L5" s="11"/>
      <c r="M5" s="11"/>
      <c r="N5" s="11"/>
      <c r="O5" s="13"/>
    </row>
    <row r="6" spans="2:16" ht="17.25" customHeight="1">
      <c r="B6" s="14"/>
      <c r="C6" s="14"/>
      <c r="D6" s="15"/>
      <c r="E6" s="16"/>
      <c r="F6" s="15"/>
      <c r="G6" s="17"/>
      <c r="H6" s="18"/>
      <c r="J6" s="19" t="s">
        <v>28</v>
      </c>
      <c r="K6" s="141"/>
      <c r="L6" s="141"/>
      <c r="M6" s="141"/>
      <c r="N6" s="141"/>
      <c r="O6" s="15"/>
    </row>
    <row r="7" spans="2:16" ht="9" customHeight="1" thickBot="1">
      <c r="B7" s="12"/>
      <c r="C7" s="12"/>
      <c r="D7" s="12"/>
      <c r="E7" s="20"/>
      <c r="F7" s="20"/>
      <c r="G7" s="20"/>
      <c r="H7" s="21"/>
      <c r="I7" s="11"/>
      <c r="J7" s="17"/>
      <c r="K7" s="17"/>
      <c r="L7" s="17"/>
      <c r="M7" s="17"/>
      <c r="N7" s="22"/>
      <c r="O7" s="15"/>
    </row>
    <row r="8" spans="2:16" ht="17.25" customHeight="1">
      <c r="B8" s="23" t="s">
        <v>23</v>
      </c>
      <c r="C8" s="24"/>
      <c r="D8" s="25"/>
      <c r="E8" s="26" t="s">
        <v>21</v>
      </c>
      <c r="F8" s="26"/>
      <c r="G8" s="27"/>
      <c r="H8" s="28" t="s">
        <v>22</v>
      </c>
      <c r="I8" s="28"/>
      <c r="J8" s="29"/>
      <c r="K8" s="29"/>
      <c r="L8" s="29"/>
      <c r="M8" s="29"/>
      <c r="N8" s="30"/>
      <c r="O8" s="22"/>
      <c r="P8" s="15"/>
    </row>
    <row r="9" spans="2:16" ht="17.25" customHeight="1">
      <c r="B9" s="31" t="s">
        <v>30</v>
      </c>
      <c r="C9" s="133"/>
      <c r="D9" s="134"/>
      <c r="E9" s="32"/>
      <c r="F9" s="17"/>
      <c r="G9" s="33"/>
      <c r="H9" s="32"/>
      <c r="I9" s="17"/>
      <c r="J9" s="34"/>
      <c r="K9" s="34"/>
      <c r="L9" s="34"/>
      <c r="M9" s="34"/>
      <c r="N9" s="35"/>
      <c r="O9" s="17"/>
      <c r="P9" s="15"/>
    </row>
    <row r="10" spans="2:16" ht="17.25" customHeight="1" thickBot="1">
      <c r="B10" s="36" t="s">
        <v>31</v>
      </c>
      <c r="C10" s="135"/>
      <c r="D10" s="136"/>
      <c r="E10" s="37"/>
      <c r="F10" s="37"/>
      <c r="G10" s="38"/>
      <c r="H10" s="37"/>
      <c r="I10" s="37"/>
      <c r="J10" s="39"/>
      <c r="K10" s="39"/>
      <c r="L10" s="39"/>
      <c r="M10" s="39"/>
      <c r="N10" s="40"/>
      <c r="O10" s="17"/>
      <c r="P10" s="15"/>
    </row>
    <row r="11" spans="2:16" ht="9" customHeight="1">
      <c r="B11" s="41"/>
      <c r="C11" s="41"/>
      <c r="D11" s="12"/>
      <c r="E11" s="17"/>
      <c r="F11" s="17"/>
      <c r="G11" s="17"/>
      <c r="H11" s="17"/>
      <c r="I11" s="34"/>
      <c r="J11" s="17"/>
      <c r="K11" s="17"/>
      <c r="L11" s="17"/>
      <c r="M11" s="17"/>
      <c r="N11" s="17"/>
      <c r="O11" s="15"/>
    </row>
    <row r="12" spans="2:16" ht="17.25" customHeight="1" thickBot="1">
      <c r="B12" s="84"/>
      <c r="C12" s="84"/>
      <c r="D12" s="84"/>
      <c r="E12" s="84"/>
      <c r="F12" s="84"/>
      <c r="G12" s="84"/>
      <c r="H12" s="17"/>
      <c r="I12" s="17"/>
      <c r="J12" s="17"/>
      <c r="K12" s="17"/>
      <c r="L12" s="17"/>
      <c r="M12" s="17"/>
      <c r="N12" s="17"/>
      <c r="O12" s="15"/>
    </row>
    <row r="13" spans="2:16" ht="27.75" customHeight="1" thickBot="1">
      <c r="D13" s="128" t="s">
        <v>41</v>
      </c>
      <c r="E13" s="127" t="s">
        <v>17</v>
      </c>
      <c r="F13" s="137"/>
      <c r="G13" s="138"/>
      <c r="H13" s="85"/>
      <c r="I13" s="86" t="s">
        <v>20</v>
      </c>
      <c r="J13" s="87"/>
      <c r="K13" s="88" t="s">
        <v>0</v>
      </c>
      <c r="L13" s="89"/>
      <c r="M13" s="90" t="s">
        <v>16</v>
      </c>
      <c r="N13" s="91">
        <f>J13*L13</f>
        <v>0</v>
      </c>
      <c r="O13" s="15"/>
    </row>
    <row r="14" spans="2:16" ht="27.75" customHeight="1" thickBot="1">
      <c r="G14" s="20"/>
      <c r="H14" s="21"/>
      <c r="I14" s="128" t="s">
        <v>41</v>
      </c>
      <c r="J14" s="148" t="s">
        <v>38</v>
      </c>
      <c r="K14" s="149"/>
      <c r="L14" s="149"/>
      <c r="M14" s="149"/>
      <c r="N14" s="97">
        <f>SUMIF($H$13:$H$13,"AMEX",$J$13:$J$13)</f>
        <v>0</v>
      </c>
      <c r="O14" s="15"/>
    </row>
    <row r="15" spans="2:16" ht="27.75" customHeight="1" thickBot="1">
      <c r="G15" s="20"/>
      <c r="H15" s="21"/>
      <c r="I15" s="128" t="s">
        <v>41</v>
      </c>
      <c r="J15" s="148" t="s">
        <v>39</v>
      </c>
      <c r="K15" s="149"/>
      <c r="L15" s="149"/>
      <c r="M15" s="149"/>
      <c r="N15" s="97">
        <f>SUMIF($H$13:$H$13,"立替",$J$13:$J$13)</f>
        <v>0</v>
      </c>
      <c r="O15" s="15"/>
    </row>
    <row r="16" spans="2:16" ht="17.25" customHeight="1" thickBot="1"/>
    <row r="17" spans="2:15" ht="27.75" customHeight="1" thickBot="1">
      <c r="I17" s="129" t="s">
        <v>46</v>
      </c>
      <c r="J17" s="98"/>
      <c r="K17" s="88" t="s">
        <v>0</v>
      </c>
      <c r="L17" s="99"/>
      <c r="M17" s="100" t="s">
        <v>1</v>
      </c>
      <c r="N17" s="91">
        <f>L17*J17</f>
        <v>0</v>
      </c>
    </row>
    <row r="18" spans="2:15" ht="27.75" customHeight="1">
      <c r="B18" s="2" t="s">
        <v>47</v>
      </c>
      <c r="F18" s="150">
        <f>N14+N15+N17</f>
        <v>0</v>
      </c>
      <c r="G18" s="151"/>
    </row>
    <row r="19" spans="2:15" ht="27.75" customHeight="1" thickBot="1">
      <c r="B19" s="2" t="s">
        <v>32</v>
      </c>
      <c r="E19" s="101"/>
      <c r="F19" s="152">
        <f>N14</f>
        <v>0</v>
      </c>
      <c r="G19" s="152"/>
      <c r="I19" s="102" t="s">
        <v>25</v>
      </c>
    </row>
    <row r="20" spans="2:15" ht="27.75" customHeight="1" thickBot="1">
      <c r="B20" s="103" t="s">
        <v>24</v>
      </c>
      <c r="C20" s="103"/>
      <c r="D20" s="103"/>
      <c r="E20" s="103"/>
      <c r="F20" s="153">
        <v>0</v>
      </c>
      <c r="G20" s="153"/>
      <c r="I20" s="154">
        <f>F21</f>
        <v>0</v>
      </c>
      <c r="J20" s="155"/>
      <c r="K20" s="155"/>
      <c r="L20" s="156"/>
    </row>
    <row r="21" spans="2:15" ht="27.75" customHeight="1" thickTop="1" thickBot="1">
      <c r="B21" s="142" t="s">
        <v>26</v>
      </c>
      <c r="C21" s="142"/>
      <c r="D21" s="142"/>
      <c r="E21" s="84"/>
      <c r="F21" s="143">
        <f>F18-F19-F20</f>
        <v>0</v>
      </c>
      <c r="G21" s="144"/>
      <c r="H21" s="17"/>
      <c r="I21" s="157"/>
      <c r="J21" s="158"/>
      <c r="K21" s="158"/>
      <c r="L21" s="159"/>
      <c r="N21" s="17"/>
      <c r="O21" s="15"/>
    </row>
    <row r="22" spans="2:15" ht="15" customHeight="1">
      <c r="D22" s="12"/>
      <c r="E22" s="17"/>
      <c r="F22" s="17"/>
      <c r="G22" s="17"/>
      <c r="H22" s="18"/>
      <c r="I22" s="11"/>
      <c r="N22" s="22"/>
      <c r="O22" s="15"/>
    </row>
    <row r="23" spans="2:15" ht="15" customHeight="1">
      <c r="B23" s="12"/>
      <c r="C23" s="12"/>
      <c r="D23" s="12"/>
      <c r="E23" s="104"/>
      <c r="F23" s="20"/>
      <c r="G23" s="20"/>
      <c r="H23" s="21"/>
      <c r="I23" s="11"/>
      <c r="N23" s="22"/>
      <c r="O23" s="15"/>
    </row>
    <row r="24" spans="2:15" ht="17.25" customHeight="1">
      <c r="B24" s="101"/>
      <c r="C24" s="101"/>
      <c r="D24" s="101"/>
      <c r="E24" s="101"/>
      <c r="F24" s="101"/>
      <c r="G24" s="101"/>
      <c r="H24" s="101"/>
      <c r="I24" s="101"/>
      <c r="K24" s="199"/>
      <c r="L24" s="199"/>
      <c r="M24" s="199"/>
      <c r="N24" s="132"/>
      <c r="O24" s="1"/>
    </row>
    <row r="25" spans="2:15" ht="17.25" customHeight="1"/>
    <row r="26" spans="2:15" ht="17.25" customHeight="1">
      <c r="B26" s="130"/>
      <c r="C26" s="131"/>
      <c r="F26" s="20"/>
    </row>
    <row r="27" spans="2:15" ht="17.25" customHeight="1"/>
    <row r="28" spans="2:15" ht="9" customHeight="1"/>
    <row r="29" spans="2:15">
      <c r="J29" s="17"/>
      <c r="K29" s="17"/>
      <c r="L29" s="17"/>
      <c r="M29" s="17"/>
    </row>
  </sheetData>
  <mergeCells count="15">
    <mergeCell ref="B21:D21"/>
    <mergeCell ref="F21:G21"/>
    <mergeCell ref="K24:M24"/>
    <mergeCell ref="J14:M14"/>
    <mergeCell ref="J15:M15"/>
    <mergeCell ref="F18:G18"/>
    <mergeCell ref="F19:G19"/>
    <mergeCell ref="F20:G20"/>
    <mergeCell ref="I20:L21"/>
    <mergeCell ref="F13:G13"/>
    <mergeCell ref="J2:N2"/>
    <mergeCell ref="K4:N4"/>
    <mergeCell ref="K6:N6"/>
    <mergeCell ref="C9:D9"/>
    <mergeCell ref="C10:D10"/>
  </mergeCells>
  <phoneticPr fontId="1"/>
  <dataValidations count="1">
    <dataValidation type="list" showInputMessage="1" showErrorMessage="1" sqref="H13" xr:uid="{BFA0FFAB-9A37-4087-8ADE-3FCECAE1F1CA}">
      <formula1>"AMEX,立替"</formula1>
    </dataValidation>
  </dataValidations>
  <printOptions horizontalCentered="1"/>
  <pageMargins left="0.25" right="0.25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旅費入力サンプル</vt:lpstr>
      <vt:lpstr>旅費交通費（国内出張）複数個所宿泊用</vt:lpstr>
      <vt:lpstr>旅費交通費（国内出張）</vt:lpstr>
      <vt:lpstr>'旅費交通費（国内出張）'!Print_Area</vt:lpstr>
      <vt:lpstr>'旅費交通費（国内出張）複数個所宿泊用'!Print_Area</vt:lpstr>
      <vt:lpstr>旅費入力サンプル!Print_Area</vt:lpstr>
      <vt:lpstr>'旅費交通費（国内出張）'!Print_Titles</vt:lpstr>
      <vt:lpstr>'旅費交通費（国内出張）複数個所宿泊用'!Print_Titles</vt:lpstr>
      <vt:lpstr>旅費入力サンプル!Print_Titles</vt:lpstr>
    </vt:vector>
  </TitlesOfParts>
  <Company>株式会社アグリーム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大月</dc:creator>
  <cp:lastModifiedBy>小野　レミ</cp:lastModifiedBy>
  <cp:lastPrinted>2024-10-08T05:40:31Z</cp:lastPrinted>
  <dcterms:created xsi:type="dcterms:W3CDTF">2009-04-08T02:01:35Z</dcterms:created>
  <dcterms:modified xsi:type="dcterms:W3CDTF">2024-10-23T05:35:28Z</dcterms:modified>
</cp:coreProperties>
</file>